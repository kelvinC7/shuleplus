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30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<sst xmlns="http://schemas.openxmlformats.org/spreadsheetml/2006/main" count="607" uniqueCount="366">
  <si>
    <t>location</t>
  </si>
  <si>
    <t>name</t>
  </si>
  <si>
    <t>label</t>
  </si>
  <si>
    <t>type</t>
  </si>
  <si>
    <t>category</t>
  </si>
  <si>
    <t>supplier</t>
  </si>
  <si>
    <t>tax</t>
  </si>
  <si>
    <t>upi</t>
  </si>
  <si>
    <t>sku</t>
  </si>
  <si>
    <t>size</t>
  </si>
  <si>
    <t>material</t>
  </si>
  <si>
    <t>purchase_year</t>
  </si>
  <si>
    <t>purchase_month</t>
  </si>
  <si>
    <t>purchase_day</t>
  </si>
  <si>
    <t>purchase_unit_price</t>
  </si>
  <si>
    <t>OPENING BALANCE</t>
  </si>
  <si>
    <t>TOTAL BALANCE</t>
  </si>
  <si>
    <t>accumulated DEPRECIATION</t>
  </si>
  <si>
    <t>decimal depr</t>
  </si>
  <si>
    <t>annual depreciation</t>
  </si>
  <si>
    <t xml:space="preserve">total depreciation </t>
  </si>
  <si>
    <t>net book value</t>
  </si>
  <si>
    <t>quantity</t>
  </si>
  <si>
    <t>depreciation_mode</t>
  </si>
  <si>
    <t>depreciation_rate</t>
  </si>
  <si>
    <t>number_of_useful_years_depreciation</t>
  </si>
  <si>
    <t>description</t>
  </si>
  <si>
    <t>COMPUTER LAB A</t>
  </si>
  <si>
    <t>UNINTERRUPTIBLE POWER SUPPLY_06</t>
  </si>
  <si>
    <t>UPS_06</t>
  </si>
  <si>
    <t>COMPUTER</t>
  </si>
  <si>
    <t>UNINTERRUPTIBLE POWER SUPPLY_00006</t>
  </si>
  <si>
    <t>CHAMPIONS TECHNOLOGIES LTD</t>
  </si>
  <si>
    <t>UNINTERRUPTIBLE POWER SUPPLY_00056</t>
  </si>
  <si>
    <t>KPS/CL/UPS/03A</t>
  </si>
  <si>
    <t>ELECTRONIC_71</t>
  </si>
  <si>
    <t>DIMINISHING</t>
  </si>
  <si>
    <t>GOOD CONDITION</t>
  </si>
  <si>
    <t>P6NEPUTINE</t>
  </si>
  <si>
    <t>TELEVISION_09</t>
  </si>
  <si>
    <t>TV_09</t>
  </si>
  <si>
    <t>TELEVISION _00009</t>
  </si>
  <si>
    <t>TECHSION LTD</t>
  </si>
  <si>
    <t>TELEVISION_0009</t>
  </si>
  <si>
    <t>KPS/P6UR/TV/01</t>
  </si>
  <si>
    <t>ELECTRONIC_72</t>
  </si>
  <si>
    <t>P6URANUS</t>
  </si>
  <si>
    <t>TELEVISION_10</t>
  </si>
  <si>
    <t>TV_10</t>
  </si>
  <si>
    <t>TELEVISION _00010</t>
  </si>
  <si>
    <t>TELEVISION_0010</t>
  </si>
  <si>
    <t>KPS/P6NP/TV/01</t>
  </si>
  <si>
    <t>ELECTRONIC_73</t>
  </si>
  <si>
    <t>COMPUTER LAB B</t>
  </si>
  <si>
    <t>ACCESSOIRES_014</t>
  </si>
  <si>
    <t>ACC_14</t>
  </si>
  <si>
    <t>ACCESSOIRE _00014</t>
  </si>
  <si>
    <t>ACCESSOIRE_00014</t>
  </si>
  <si>
    <t>KPS/ACC/14</t>
  </si>
  <si>
    <t>ELECTRONIC_74</t>
  </si>
  <si>
    <t>SICK BABY</t>
  </si>
  <si>
    <t>LAPTOP_09</t>
  </si>
  <si>
    <t>LP_09</t>
  </si>
  <si>
    <t>LAPTOP_0009</t>
  </si>
  <si>
    <t>LASER TECH LTD</t>
  </si>
  <si>
    <t>KPS/SB/LP/01 A</t>
  </si>
  <si>
    <t>ELECTRONIC_75</t>
  </si>
  <si>
    <t>RECEIPTION A</t>
  </si>
  <si>
    <t>PRINTER_05</t>
  </si>
  <si>
    <t>PR_05</t>
  </si>
  <si>
    <t>PRINTER _00005</t>
  </si>
  <si>
    <t>SECAM LTD</t>
  </si>
  <si>
    <t>PRINTER _0005</t>
  </si>
  <si>
    <t>KPS/OFF/PR/03  RE A</t>
  </si>
  <si>
    <t>ELECTRONIC_76</t>
  </si>
  <si>
    <t>PRINTING ROOM</t>
  </si>
  <si>
    <t>PRINTER_06</t>
  </si>
  <si>
    <t>PR_06</t>
  </si>
  <si>
    <t>PRINTER_000006</t>
  </si>
  <si>
    <t>HI-FI TRADING SERVICE LTD</t>
  </si>
  <si>
    <t>PRINTER _0006</t>
  </si>
  <si>
    <t>KPS/PRR/PR/01</t>
  </si>
  <si>
    <t>ELECTRONIC_77</t>
  </si>
  <si>
    <t>ACCESSOIRE_015</t>
  </si>
  <si>
    <t>ACC_15</t>
  </si>
  <si>
    <t>ACCESSORIES_00015</t>
  </si>
  <si>
    <t>ACCESSOIRE_00015</t>
  </si>
  <si>
    <t>KPS/ACC/15</t>
  </si>
  <si>
    <t>ELECTRONIC_78</t>
  </si>
  <si>
    <t>P5 BLOCK</t>
  </si>
  <si>
    <t>PJ_004</t>
  </si>
  <si>
    <t>PROJECTEUR_00004</t>
  </si>
  <si>
    <t>PROJECTEUR_0004</t>
  </si>
  <si>
    <t xml:space="preserve">KPS/P5/PJ/01 </t>
  </si>
  <si>
    <t>ELECTRONIC_79</t>
  </si>
  <si>
    <t>PRINTER_07</t>
  </si>
  <si>
    <t>PR_07</t>
  </si>
  <si>
    <t>PRINTER_0007</t>
  </si>
  <si>
    <t>KPS/PRR/PR/02</t>
  </si>
  <si>
    <t>ELECTRONIC_80</t>
  </si>
  <si>
    <t>SREEN OF PROJECTOR</t>
  </si>
  <si>
    <t>SCJ_01</t>
  </si>
  <si>
    <t>SREEN OF PROJECTOR_00001</t>
  </si>
  <si>
    <t>SREEN OF PROJECTOR_0001</t>
  </si>
  <si>
    <t>KPS/CL/SPJ/01 A</t>
  </si>
  <si>
    <t>ELECTRONIC_81</t>
  </si>
  <si>
    <t>ACCESSOIRE_016</t>
  </si>
  <si>
    <t>ACC_16</t>
  </si>
  <si>
    <t>ACCESSOIRE_00016</t>
  </si>
  <si>
    <t>KPS/ACC/16</t>
  </si>
  <si>
    <t>ELECTRONIC_82</t>
  </si>
  <si>
    <t>TELEVISION_11</t>
  </si>
  <si>
    <t>TV_11</t>
  </si>
  <si>
    <t>TELEVISION _00011</t>
  </si>
  <si>
    <t>TELEVISION_0011</t>
  </si>
  <si>
    <t>KPS/OFF/TV/01 A</t>
  </si>
  <si>
    <t>ELECTRONIC_83</t>
  </si>
  <si>
    <t>CONTROL ROOM C</t>
  </si>
  <si>
    <t>TELEVISION_12</t>
  </si>
  <si>
    <t>TV_12</t>
  </si>
  <si>
    <t>TELEVISION _00012</t>
  </si>
  <si>
    <t>TELEVISION_0012</t>
  </si>
  <si>
    <t>KPS/CR/TV/01 C</t>
  </si>
  <si>
    <t>ELECTRONIC_84</t>
  </si>
  <si>
    <t>ACCESSOIRE_017</t>
  </si>
  <si>
    <t>ACC_17</t>
  </si>
  <si>
    <t>ACCESSOIRE _00017</t>
  </si>
  <si>
    <t>ACCESSOIRE_00017</t>
  </si>
  <si>
    <t>KPS/ACC/17</t>
  </si>
  <si>
    <t>ELECTRONIC_85</t>
  </si>
  <si>
    <t>BURSAR</t>
  </si>
  <si>
    <t>LAPTOP_010</t>
  </si>
  <si>
    <t>LP_010</t>
  </si>
  <si>
    <t>LAPTOP_00010</t>
  </si>
  <si>
    <t>KPS/OFF/LP/07  BR</t>
  </si>
  <si>
    <t>ELECTRONIC_86</t>
  </si>
  <si>
    <t>LAPTOP_011</t>
  </si>
  <si>
    <t>LP_011</t>
  </si>
  <si>
    <t>LAPTOP_00011</t>
  </si>
  <si>
    <t>KPS/OFF/LP/08  BR</t>
  </si>
  <si>
    <t>ELECTRONIC_87</t>
  </si>
  <si>
    <t>ACCESSOIRE_018</t>
  </si>
  <si>
    <t>ACC_18</t>
  </si>
  <si>
    <t>ACCESSOIRE _00018</t>
  </si>
  <si>
    <t>NEST CORP LTD</t>
  </si>
  <si>
    <t>ACCESSOIRE_00018</t>
  </si>
  <si>
    <t>KPS/ACC/18</t>
  </si>
  <si>
    <t>ELECTRONIC_88</t>
  </si>
  <si>
    <t>MAIN HALL</t>
  </si>
  <si>
    <t>PROJECTOR( LED100 LED)_03</t>
  </si>
  <si>
    <t>PJL_03</t>
  </si>
  <si>
    <t>PROJECTOR( LED100 LED)_00023</t>
  </si>
  <si>
    <t>KIGALI POWER LINK LTD</t>
  </si>
  <si>
    <t>PROJECTOR( LED100 LED)_003</t>
  </si>
  <si>
    <t xml:space="preserve">KPS/MH/PJL/03  </t>
  </si>
  <si>
    <t>ELECTRONIC_89</t>
  </si>
  <si>
    <t>UNINTERRUPTIBLE POWER SUPPLY_07</t>
  </si>
  <si>
    <t>UPS_07</t>
  </si>
  <si>
    <t>UNINTERRUPTIBLE POWER SUPPLY_00007</t>
  </si>
  <si>
    <t>UNINTERRUPTIBLE POWER SUPPLY_0006</t>
  </si>
  <si>
    <t>KPS/CL/UPS/04 A</t>
  </si>
  <si>
    <t>ELECTRONIC_90</t>
  </si>
  <si>
    <t>P4PLUTTO</t>
  </si>
  <si>
    <t>TELEVISION_013</t>
  </si>
  <si>
    <t>TV_13</t>
  </si>
  <si>
    <t>TELEVISION _00013</t>
  </si>
  <si>
    <t>PRINCE PLATINUM COMPANY LTD</t>
  </si>
  <si>
    <t>TELEVISION_0013</t>
  </si>
  <si>
    <t>KPS/P4PLT/TV/01</t>
  </si>
  <si>
    <t>ELECTRONIC_91</t>
  </si>
  <si>
    <t>P4VENUS</t>
  </si>
  <si>
    <t>TELEVISION_014</t>
  </si>
  <si>
    <t>TV_14</t>
  </si>
  <si>
    <t>TELEVISION _00014</t>
  </si>
  <si>
    <t>TELEVISION_0014</t>
  </si>
  <si>
    <t>KPS/P4VN/TV/01</t>
  </si>
  <si>
    <t>ELECTRONIC_92</t>
  </si>
  <si>
    <t>P4PLT&amp;P4VN</t>
  </si>
  <si>
    <t>ACCESSOIRE _019</t>
  </si>
  <si>
    <t>ACC_19</t>
  </si>
  <si>
    <t>ACCESSOIRE _00019</t>
  </si>
  <si>
    <t>ACCESSOIRE_00019</t>
  </si>
  <si>
    <t>KPS/ACC/19</t>
  </si>
  <si>
    <t>ELECTRONIC_93</t>
  </si>
  <si>
    <t>UNINTERRUPTIBLE POWER SUPPLY_08</t>
  </si>
  <si>
    <t>UPS_08</t>
  </si>
  <si>
    <t>UNINTERRUPTIBLE POWER SUPPLY_00008</t>
  </si>
  <si>
    <t>UNINTERRUPTIBLE POWER SUPPLY_0008</t>
  </si>
  <si>
    <t>KPS/OFF/UPS/01 BR</t>
  </si>
  <si>
    <t>ELECTRONIC_94</t>
  </si>
  <si>
    <t>P3 MERCURY</t>
  </si>
  <si>
    <t>TELEVISION_15</t>
  </si>
  <si>
    <t>TV_15</t>
  </si>
  <si>
    <t>TELEVISION _00015</t>
  </si>
  <si>
    <t>DJC ELECTRONICS LTD</t>
  </si>
  <si>
    <t>TELEVISION_0015</t>
  </si>
  <si>
    <t>KPS/P3MCTV/01</t>
  </si>
  <si>
    <t>ELECTRONIC_95</t>
  </si>
  <si>
    <t>RECEIPTION B</t>
  </si>
  <si>
    <t>LAPTOP_012</t>
  </si>
  <si>
    <t>LP_012</t>
  </si>
  <si>
    <t>LAPTOP_00012</t>
  </si>
  <si>
    <t>KPS/OFF/LP/01 RE B</t>
  </si>
  <si>
    <t>ELECTRONIC_96</t>
  </si>
  <si>
    <t>RECEIPTIO A</t>
  </si>
  <si>
    <t>TELEVISION_16</t>
  </si>
  <si>
    <t>TV_16</t>
  </si>
  <si>
    <t>TELEVISION _00016</t>
  </si>
  <si>
    <t>TELEVISION_0016</t>
  </si>
  <si>
    <t>KPS/OFF/TV/01  RE A</t>
  </si>
  <si>
    <t>ELECTRONIC_97</t>
  </si>
  <si>
    <t>P6EARTH</t>
  </si>
  <si>
    <t>TELEVISION_17</t>
  </si>
  <si>
    <t>TV_17</t>
  </si>
  <si>
    <t>TELEVISION _00017</t>
  </si>
  <si>
    <t>TELEVISION_0017</t>
  </si>
  <si>
    <t>KPS/P6ETH/TV/01</t>
  </si>
  <si>
    <t>ELECTRONIC_98</t>
  </si>
  <si>
    <t>P3URANUS</t>
  </si>
  <si>
    <t>TELEVISION_18</t>
  </si>
  <si>
    <t>TV_18</t>
  </si>
  <si>
    <t>TELEVISION _00018</t>
  </si>
  <si>
    <t>TELEVISION_0018</t>
  </si>
  <si>
    <t>KPS/P3UR/TV/01</t>
  </si>
  <si>
    <t>ELECTRONIC_99</t>
  </si>
  <si>
    <t>P3VN</t>
  </si>
  <si>
    <t>RE A&amp;P6ETH&amp;P3UR</t>
  </si>
  <si>
    <t>ACCESSOIRE _020</t>
  </si>
  <si>
    <t>ACC_20</t>
  </si>
  <si>
    <t>ACCESSOIRE _00020</t>
  </si>
  <si>
    <t>ACCESSOIRE_00020</t>
  </si>
  <si>
    <t>KPS/ACC/20</t>
  </si>
  <si>
    <t>ELECTRONIC_100</t>
  </si>
  <si>
    <t>STABILIZER_001</t>
  </si>
  <si>
    <t>STB_01</t>
  </si>
  <si>
    <t>STABILIZER_00001</t>
  </si>
  <si>
    <t>STEP &amp; STEP TRADING LTD</t>
  </si>
  <si>
    <t>STABILIZER_000001</t>
  </si>
  <si>
    <t>KPS/OFF/STB/01  A</t>
  </si>
  <si>
    <t>ELECTRONIC_101</t>
  </si>
  <si>
    <t>P1PLUTTO</t>
  </si>
  <si>
    <t>TELEVISION_19</t>
  </si>
  <si>
    <t>TV_19</t>
  </si>
  <si>
    <t>TELEVISION _00019</t>
  </si>
  <si>
    <t>K &amp; T PARTNERS LTD</t>
  </si>
  <si>
    <t>TELEVISION_0019</t>
  </si>
  <si>
    <t>KPS/P1PLT/TV/01</t>
  </si>
  <si>
    <t>ELECTRONIC_102</t>
  </si>
  <si>
    <t>P1JP</t>
  </si>
  <si>
    <t>P3PLUTTO</t>
  </si>
  <si>
    <t>TELEVISION_20</t>
  </si>
  <si>
    <t>TV_20</t>
  </si>
  <si>
    <t>TELEVISION _00020</t>
  </si>
  <si>
    <t>TELEVISION_0020</t>
  </si>
  <si>
    <t>KPS/P3PLT/TV/01</t>
  </si>
  <si>
    <t>ELECTRONIC_103</t>
  </si>
  <si>
    <t>P4BLOCK</t>
  </si>
  <si>
    <t>PROJECTEUR_06</t>
  </si>
  <si>
    <t>PJ_06</t>
  </si>
  <si>
    <t>PROJECTEUR_0006</t>
  </si>
  <si>
    <t>PROJECTEUR_006</t>
  </si>
  <si>
    <t>KPS/P54/PJ/01</t>
  </si>
  <si>
    <t>ELECTRONIC_104</t>
  </si>
  <si>
    <t>P5MERCURY</t>
  </si>
  <si>
    <t>TELEVISION_21</t>
  </si>
  <si>
    <t>TV_21</t>
  </si>
  <si>
    <t>TELEVISION _00021</t>
  </si>
  <si>
    <t>NEW MODERN TECHNOLOGY LTD</t>
  </si>
  <si>
    <t>TELEVISION_0021</t>
  </si>
  <si>
    <t>KPS/P5MC/TV/01</t>
  </si>
  <si>
    <t>ELECTRONIC_105</t>
  </si>
  <si>
    <t>Kimironko Branch A - Administration BURSAR OFFICE</t>
  </si>
  <si>
    <t>DESKTOP ALL IN ONE 24 INCH</t>
  </si>
  <si>
    <t>DT</t>
  </si>
  <si>
    <t>COMPUTER &amp;ASSECOIRES</t>
  </si>
  <si>
    <t>DESKTOP</t>
  </si>
  <si>
    <t>IT SPACE LTD</t>
  </si>
  <si>
    <t>8CC5I2260F</t>
  </si>
  <si>
    <t>KPS/OFF/DT/01 BR</t>
  </si>
  <si>
    <t>MEDIAM</t>
  </si>
  <si>
    <t>ELECTRONIC_106</t>
  </si>
  <si>
    <t>Kimironko Branch A - Administration CONTROL ROOM A</t>
  </si>
  <si>
    <t>HIKVISION MONITOR 43 ICH</t>
  </si>
  <si>
    <t>MTV</t>
  </si>
  <si>
    <t>TELEVISION MONITOR</t>
  </si>
  <si>
    <t>VISION TECHNOLOGIES COMPANY</t>
  </si>
  <si>
    <t>ELECTRONIC 00000020</t>
  </si>
  <si>
    <t>KPS/CR/MTV/02 A</t>
  </si>
  <si>
    <t>ELECTRONIC_107</t>
  </si>
  <si>
    <t>Kimironko Branch A - Administration CONTROL ROOM B</t>
  </si>
  <si>
    <t>HIKVISION MONITOR 43 ICH2</t>
  </si>
  <si>
    <t>ELECTRONIC 000021</t>
  </si>
  <si>
    <t>KPS/CR/MTV/01 B</t>
  </si>
  <si>
    <t>ELECTRONIC_108</t>
  </si>
  <si>
    <t>Kimironko Branch A - Administration Kimironko Branch A - Administration P5N,P5JP,P5VN</t>
  </si>
  <si>
    <t>HISENSE 50 SMART TV_2341</t>
  </si>
  <si>
    <t>TV</t>
  </si>
  <si>
    <t>TELEVISION</t>
  </si>
  <si>
    <t>NEW MODERN TECHNOLOGY</t>
  </si>
  <si>
    <t>ELECTRONIC 000022</t>
  </si>
  <si>
    <t>KPS/P5VN/TV/01</t>
  </si>
  <si>
    <t>ELECTRONIC_109</t>
  </si>
  <si>
    <t>HISENSE 50 SMART TV_2341_92</t>
  </si>
  <si>
    <t>ELECTRONIC 000023</t>
  </si>
  <si>
    <t>KPS/P5JP/TV/01</t>
  </si>
  <si>
    <t>ELECTRONIC_110</t>
  </si>
  <si>
    <t>HISENSE 50 SMART TV_2342</t>
  </si>
  <si>
    <t>ELECTRONIC 000024</t>
  </si>
  <si>
    <t>KPS/P5NP/TV/01</t>
  </si>
  <si>
    <t>ELECTRONIC_111</t>
  </si>
  <si>
    <t>Kimironko Branch A - Administration HEAD MASTER 'S OFFICE</t>
  </si>
  <si>
    <t>HP ELITEBOOKSEC1 LAPTOP</t>
  </si>
  <si>
    <t>LP</t>
  </si>
  <si>
    <t>LAPTOP</t>
  </si>
  <si>
    <t>BARUCH GROUP LTD</t>
  </si>
  <si>
    <t>HP ELITEBOOK111</t>
  </si>
  <si>
    <t>KPS/OFF/LP/O2  HT</t>
  </si>
  <si>
    <t>ELECTRONIC_112</t>
  </si>
  <si>
    <t>Kimironko Branch A - Administration DIRECTOR OF STUDY PRIMARY 2</t>
  </si>
  <si>
    <t>HP ELITEBOOKSEC2 LAPTOP</t>
  </si>
  <si>
    <t>HP ELITEBOOK112</t>
  </si>
  <si>
    <t>KPS/OFF/LP/02  DSPR2</t>
  </si>
  <si>
    <t>ELECTRONIC_113</t>
  </si>
  <si>
    <t>Kimironko Branch A - Administration PRINTING ROOM</t>
  </si>
  <si>
    <t>HP ELITEBOOKSE LAPTOP</t>
  </si>
  <si>
    <t>HP ELITEBOOK113</t>
  </si>
  <si>
    <t>KPS/PRR/LP/01</t>
  </si>
  <si>
    <t>ELECTRONIC_114</t>
  </si>
  <si>
    <t>HP PROBOOK  LAPTOP</t>
  </si>
  <si>
    <t>FLY LTD</t>
  </si>
  <si>
    <t>HP PROBOOK LAPTOP 160 G</t>
  </si>
  <si>
    <t>KPS/OFF/LP/01/BR</t>
  </si>
  <si>
    <t>ELECTRONIC_115</t>
  </si>
  <si>
    <t>Kimironko Branch A - Administration DIRECTOR OF STUDIES PRIMARY 1</t>
  </si>
  <si>
    <t xml:space="preserve"> LAPTOP INTER CORE I5</t>
  </si>
  <si>
    <t>HP 14S LAPTOP</t>
  </si>
  <si>
    <t>MICROSHIPS LTD</t>
  </si>
  <si>
    <t>HP PROBOOK LAPTOP 120 G</t>
  </si>
  <si>
    <t>KPS/OFF/LP/02  DSPRA</t>
  </si>
  <si>
    <t>ELECTRONIC_116</t>
  </si>
  <si>
    <t>Kimironko Branch A - Administration P6MC</t>
  </si>
  <si>
    <t>NEIIT TC 50 (1)</t>
  </si>
  <si>
    <t>K&amp;T PARTNERS LTD</t>
  </si>
  <si>
    <t>NEIIT TC 50 (  001)</t>
  </si>
  <si>
    <t>KPS/P6MC/TV/01</t>
  </si>
  <si>
    <t>ELECTRONIC_117</t>
  </si>
  <si>
    <t>Kimironko Branch A - Administration P5NP</t>
  </si>
  <si>
    <t>NEIIT TC 50 (2)</t>
  </si>
  <si>
    <t>KPS/P5UR/TV/01</t>
  </si>
  <si>
    <t>ELECTRONIC_118</t>
  </si>
  <si>
    <t>Kimironko Branch A - Administration P4JP</t>
  </si>
  <si>
    <t>NEIIT TV 50 INCHES TC01</t>
  </si>
  <si>
    <t>DUJERO BUSINESS GROUP LTD</t>
  </si>
  <si>
    <t>HP ELITEBOOK 11114</t>
  </si>
  <si>
    <t>ELECTRONIC_119</t>
  </si>
  <si>
    <t>PRIMARY FIVE MARS</t>
  </si>
  <si>
    <t>P5MR</t>
  </si>
  <si>
    <t>SMART TV50 INCHES_103</t>
  </si>
  <si>
    <t>ELECTRONIC 008</t>
  </si>
  <si>
    <t>KPS/P5MR/TV/001</t>
  </si>
  <si>
    <t>ELECTRONIC_120</t>
  </si>
  <si>
    <t>Kimironko Branch A - Administration Kimironko Branch A - Administration P5JP</t>
  </si>
  <si>
    <t>SMART TV50 INCHES_106</t>
  </si>
  <si>
    <t>NEIIT TV 50 INCHES</t>
  </si>
  <si>
    <t>KPS/P5PLT/TV/01</t>
  </si>
  <si>
    <t>ELECTRONIC_121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</si>
</sst>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_ * #,##0.0_ ;_ * \-#,##0.0_ ;_ * &quot;-&quot;??.0_ ;_ @_ "/>
    <numFmt numFmtId="180" formatCode="_ * #,##0.0_ ;_ * \-#,##0.0_ ;_ * &quot;-&quot;??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1" fillId="0" borderId="0" xfId="0" applyNumberFormat="1" applyFont="1" applyFill="1" applyAlignment="1">
      <alignment wrapText="1"/>
    </xf>
    <xf numFmtId="49" fontId="1" fillId="0" borderId="0" xfId="0" applyNumberFormat="1" applyFont="1" applyFill="1" applyAlignment="1"/>
    <xf numFmtId="49" fontId="1" fillId="2" borderId="0" xfId="0" applyNumberFormat="1" applyFont="1" applyFill="1" applyAlignment="1"/>
    <xf numFmtId="49" fontId="2" fillId="0" borderId="0" xfId="0" applyNumberFormat="1" applyFont="1" applyFill="1" applyAlignment="1">
      <alignment wrapText="1"/>
    </xf>
    <xf numFmtId="178" fontId="2" fillId="0" borderId="0" xfId="1" applyNumberFormat="1" applyFont="1" applyFill="1" applyAlignment="1">
      <alignment wrapText="1"/>
    </xf>
    <xf numFmtId="179" fontId="2" fillId="0" borderId="0" xfId="1" applyNumberFormat="1" applyFont="1" applyFill="1" applyAlignment="1">
      <alignment wrapText="1"/>
    </xf>
    <xf numFmtId="49" fontId="3" fillId="0" borderId="0" xfId="0" applyNumberFormat="1" applyFont="1" applyFill="1" applyAlignment="1"/>
    <xf numFmtId="0" fontId="1" fillId="0" borderId="0" xfId="0" applyNumberFormat="1" applyFont="1" applyFill="1" applyAlignment="1"/>
    <xf numFmtId="178" fontId="3" fillId="0" borderId="0" xfId="1" applyNumberFormat="1" applyFont="1" applyFill="1" applyAlignment="1"/>
    <xf numFmtId="178" fontId="1" fillId="0" borderId="0" xfId="1" applyNumberFormat="1" applyFont="1" applyFill="1" applyAlignment="1"/>
    <xf numFmtId="180" fontId="1" fillId="0" borderId="0" xfId="1" applyNumberFormat="1" applyFont="1" applyFill="1" applyAlignment="1"/>
    <xf numFmtId="49" fontId="3" fillId="2" borderId="0" xfId="0" applyNumberFormat="1" applyFont="1" applyFill="1" applyAlignment="1"/>
    <xf numFmtId="0" fontId="1" fillId="2" borderId="0" xfId="0" applyNumberFormat="1" applyFont="1" applyFill="1" applyAlignment="1"/>
    <xf numFmtId="178" fontId="3" fillId="2" borderId="0" xfId="1" applyNumberFormat="1" applyFont="1" applyFill="1" applyAlignment="1"/>
    <xf numFmtId="178" fontId="1" fillId="2" borderId="0" xfId="1" applyNumberFormat="1" applyFont="1" applyFill="1" applyAlignment="1"/>
    <xf numFmtId="180" fontId="1" fillId="2" borderId="0" xfId="1" applyNumberFormat="1" applyFont="1" applyFill="1" applyAlignment="1"/>
    <xf numFmtId="178" fontId="1" fillId="3" borderId="0" xfId="1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WPSDrive\3728688296144\WPSDrive\KPS%20Asset%20Register%202018%20to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  WITHOUT LAND"/>
      <sheetName val="FURNITURE"/>
      <sheetName val="EQUIPMENT"/>
      <sheetName val="COMPUTER"/>
      <sheetName val="VEHICLE"/>
      <sheetName val="BUILDING"/>
      <sheetName val="LAND"/>
      <sheetName val="summary"/>
      <sheetName val="new old asset"/>
      <sheetName val="OLD ASSET"/>
      <sheetName val="old asset 1"/>
      <sheetName val="WIP"/>
    </sheetNames>
    <sheetDataSet>
      <sheetData sheetId="0"/>
      <sheetData sheetId="1"/>
      <sheetData sheetId="2"/>
      <sheetData sheetId="3">
        <row r="73">
          <cell r="R73">
            <v>46268504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2"/>
  <sheetViews>
    <sheetView tabSelected="1" topLeftCell="F12" workbookViewId="0">
      <selection activeCell="V20" sqref="V20"/>
    </sheetView>
  </sheetViews>
  <sheetFormatPr defaultColWidth="9.14285714285714" defaultRowHeight="15"/>
  <cols>
    <col min="16" max="16" width="11" customWidth="1"/>
    <col min="17" max="17" width="11.7142857142857"/>
    <col min="18" max="19" width="11.7142857142857" customWidth="1"/>
    <col min="21" max="23" width="11.7142857142857" customWidth="1"/>
  </cols>
  <sheetData>
    <row r="1" s="1" customFormat="1" ht="75" spans="1:28">
      <c r="A1" s="4" t="s">
        <v>0</v>
      </c>
      <c r="B1" s="4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5" t="s">
        <v>17</v>
      </c>
      <c r="T1" s="6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="2" customFormat="1" spans="1:28">
      <c r="A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7" t="s">
        <v>32</v>
      </c>
      <c r="I2" s="2" t="s">
        <v>33</v>
      </c>
      <c r="J2" s="2" t="s">
        <v>34</v>
      </c>
      <c r="L2" s="2" t="s">
        <v>35</v>
      </c>
      <c r="M2" s="8">
        <v>2023</v>
      </c>
      <c r="N2" s="8">
        <v>1</v>
      </c>
      <c r="O2" s="8">
        <v>6</v>
      </c>
      <c r="P2" s="9">
        <v>700000</v>
      </c>
      <c r="Q2" s="10">
        <f>[1]COMPUTER!$R$73</f>
        <v>46268504</v>
      </c>
      <c r="R2" s="10">
        <f t="shared" ref="R2:R52" si="0">P2+Q2</f>
        <v>46968504</v>
      </c>
      <c r="S2" s="10">
        <v>36723641.25</v>
      </c>
      <c r="T2" s="11">
        <f t="shared" ref="T2:T7" si="1">Z2/100</f>
        <v>0.5</v>
      </c>
      <c r="U2" s="10">
        <f t="shared" ref="U2:U18" si="2">(R2-S2)*T2</f>
        <v>5122431.375</v>
      </c>
      <c r="V2" s="10">
        <f t="shared" ref="V2:V18" si="3">S2+U2</f>
        <v>41846072.625</v>
      </c>
      <c r="W2" s="10">
        <f t="shared" ref="W2:W52" si="4">R2-V2</f>
        <v>5122431.375</v>
      </c>
      <c r="X2" s="10">
        <v>1</v>
      </c>
      <c r="Y2" s="2" t="s">
        <v>36</v>
      </c>
      <c r="Z2" s="8">
        <v>50</v>
      </c>
      <c r="AA2" s="8">
        <v>2</v>
      </c>
      <c r="AB2" s="2" t="s">
        <v>37</v>
      </c>
    </row>
    <row r="3" s="2" customFormat="1" spans="1:28">
      <c r="A3" s="2" t="s">
        <v>38</v>
      </c>
      <c r="C3" s="2" t="s">
        <v>39</v>
      </c>
      <c r="D3" s="2" t="s">
        <v>40</v>
      </c>
      <c r="E3" s="2" t="s">
        <v>30</v>
      </c>
      <c r="F3" s="2" t="s">
        <v>41</v>
      </c>
      <c r="G3" s="7" t="s">
        <v>42</v>
      </c>
      <c r="I3" s="2" t="s">
        <v>43</v>
      </c>
      <c r="J3" s="2" t="s">
        <v>44</v>
      </c>
      <c r="L3" s="2" t="s">
        <v>45</v>
      </c>
      <c r="M3" s="8">
        <v>2023</v>
      </c>
      <c r="N3" s="8">
        <v>4</v>
      </c>
      <c r="O3" s="8">
        <v>25</v>
      </c>
      <c r="P3" s="9">
        <v>329550</v>
      </c>
      <c r="Q3" s="10">
        <f t="shared" ref="Q2:Q52" si="5">R2</f>
        <v>46968504</v>
      </c>
      <c r="R3" s="10">
        <f t="shared" si="0"/>
        <v>47298054</v>
      </c>
      <c r="S3" s="10">
        <v>36723641.25</v>
      </c>
      <c r="T3" s="11">
        <f t="shared" si="1"/>
        <v>0.5</v>
      </c>
      <c r="U3" s="10">
        <f t="shared" si="2"/>
        <v>5287206.375</v>
      </c>
      <c r="V3" s="10">
        <f t="shared" si="3"/>
        <v>42010847.625</v>
      </c>
      <c r="W3" s="10">
        <f t="shared" si="4"/>
        <v>5287206.375</v>
      </c>
      <c r="X3" s="10">
        <v>1</v>
      </c>
      <c r="Y3" s="2" t="s">
        <v>36</v>
      </c>
      <c r="Z3" s="8">
        <v>50</v>
      </c>
      <c r="AA3" s="8">
        <v>2</v>
      </c>
      <c r="AB3" s="2" t="s">
        <v>37</v>
      </c>
    </row>
    <row r="4" s="2" customFormat="1" spans="1:28">
      <c r="A4" s="2" t="s">
        <v>46</v>
      </c>
      <c r="C4" s="2" t="s">
        <v>47</v>
      </c>
      <c r="D4" s="2" t="s">
        <v>48</v>
      </c>
      <c r="E4" s="2" t="s">
        <v>30</v>
      </c>
      <c r="F4" s="2" t="s">
        <v>49</v>
      </c>
      <c r="G4" s="7" t="s">
        <v>42</v>
      </c>
      <c r="I4" s="2" t="s">
        <v>50</v>
      </c>
      <c r="J4" s="2" t="s">
        <v>51</v>
      </c>
      <c r="L4" s="2" t="s">
        <v>52</v>
      </c>
      <c r="M4" s="8">
        <v>2023</v>
      </c>
      <c r="N4" s="8">
        <v>4</v>
      </c>
      <c r="O4" s="8">
        <v>25</v>
      </c>
      <c r="P4" s="9">
        <v>329550</v>
      </c>
      <c r="Q4" s="10">
        <f t="shared" si="5"/>
        <v>47298054</v>
      </c>
      <c r="R4" s="10">
        <f t="shared" si="0"/>
        <v>47627604</v>
      </c>
      <c r="S4" s="10">
        <v>36723641.25</v>
      </c>
      <c r="T4" s="11">
        <f t="shared" si="1"/>
        <v>0.5</v>
      </c>
      <c r="U4" s="10">
        <f t="shared" si="2"/>
        <v>5451981.375</v>
      </c>
      <c r="V4" s="10">
        <f t="shared" si="3"/>
        <v>42175622.625</v>
      </c>
      <c r="W4" s="10">
        <f t="shared" si="4"/>
        <v>5451981.375</v>
      </c>
      <c r="X4" s="10">
        <v>1</v>
      </c>
      <c r="Y4" s="2" t="s">
        <v>36</v>
      </c>
      <c r="Z4" s="8">
        <v>50</v>
      </c>
      <c r="AA4" s="8">
        <v>2</v>
      </c>
      <c r="AB4" s="2" t="s">
        <v>37</v>
      </c>
    </row>
    <row r="5" s="2" customFormat="1" spans="1:28">
      <c r="A5" s="2" t="s">
        <v>53</v>
      </c>
      <c r="C5" s="2" t="s">
        <v>54</v>
      </c>
      <c r="D5" s="2" t="s">
        <v>55</v>
      </c>
      <c r="E5" s="2" t="s">
        <v>30</v>
      </c>
      <c r="F5" s="2" t="s">
        <v>56</v>
      </c>
      <c r="G5" s="7" t="s">
        <v>42</v>
      </c>
      <c r="I5" s="2" t="s">
        <v>57</v>
      </c>
      <c r="J5" s="2" t="s">
        <v>58</v>
      </c>
      <c r="L5" s="2" t="s">
        <v>59</v>
      </c>
      <c r="M5" s="8">
        <v>2023</v>
      </c>
      <c r="N5" s="8">
        <v>4</v>
      </c>
      <c r="O5" s="8">
        <v>25</v>
      </c>
      <c r="P5" s="9">
        <v>55900</v>
      </c>
      <c r="Q5" s="10">
        <f t="shared" si="5"/>
        <v>47627604</v>
      </c>
      <c r="R5" s="10">
        <f t="shared" si="0"/>
        <v>47683504</v>
      </c>
      <c r="S5" s="10">
        <v>36723641.25</v>
      </c>
      <c r="T5" s="11">
        <f t="shared" si="1"/>
        <v>0.5</v>
      </c>
      <c r="U5" s="10">
        <f t="shared" si="2"/>
        <v>5479931.375</v>
      </c>
      <c r="V5" s="10">
        <f t="shared" si="3"/>
        <v>42203572.625</v>
      </c>
      <c r="W5" s="10">
        <f t="shared" si="4"/>
        <v>5479931.375</v>
      </c>
      <c r="X5" s="10">
        <v>1</v>
      </c>
      <c r="Y5" s="2" t="s">
        <v>36</v>
      </c>
      <c r="Z5" s="8">
        <v>50</v>
      </c>
      <c r="AA5" s="8">
        <v>2</v>
      </c>
      <c r="AB5" s="2" t="s">
        <v>37</v>
      </c>
    </row>
    <row r="6" s="2" customFormat="1" spans="1:28">
      <c r="A6" s="2" t="s">
        <v>60</v>
      </c>
      <c r="C6" s="2" t="s">
        <v>61</v>
      </c>
      <c r="D6" s="2" t="s">
        <v>62</v>
      </c>
      <c r="E6" s="2" t="s">
        <v>30</v>
      </c>
      <c r="F6" s="2" t="s">
        <v>63</v>
      </c>
      <c r="G6" s="7" t="s">
        <v>64</v>
      </c>
      <c r="I6" s="2" t="s">
        <v>63</v>
      </c>
      <c r="J6" s="2" t="s">
        <v>65</v>
      </c>
      <c r="L6" s="2" t="s">
        <v>66</v>
      </c>
      <c r="M6" s="8">
        <v>2023</v>
      </c>
      <c r="N6" s="8">
        <v>4</v>
      </c>
      <c r="O6" s="8">
        <v>28</v>
      </c>
      <c r="P6" s="9">
        <v>380000</v>
      </c>
      <c r="Q6" s="10">
        <f t="shared" si="5"/>
        <v>47683504</v>
      </c>
      <c r="R6" s="10">
        <f t="shared" si="0"/>
        <v>48063504</v>
      </c>
      <c r="S6" s="10">
        <v>36723641.25</v>
      </c>
      <c r="T6" s="11">
        <f t="shared" si="1"/>
        <v>0.5</v>
      </c>
      <c r="U6" s="10">
        <f t="shared" si="2"/>
        <v>5669931.375</v>
      </c>
      <c r="V6" s="10">
        <f t="shared" si="3"/>
        <v>42393572.625</v>
      </c>
      <c r="W6" s="10">
        <f t="shared" si="4"/>
        <v>5669931.375</v>
      </c>
      <c r="X6" s="10">
        <v>1</v>
      </c>
      <c r="Y6" s="2" t="s">
        <v>36</v>
      </c>
      <c r="Z6" s="8">
        <v>50</v>
      </c>
      <c r="AA6" s="8">
        <v>2</v>
      </c>
      <c r="AB6" s="2" t="s">
        <v>37</v>
      </c>
    </row>
    <row r="7" s="2" customFormat="1" spans="1:28">
      <c r="A7" s="2" t="s">
        <v>67</v>
      </c>
      <c r="C7" s="2" t="s">
        <v>68</v>
      </c>
      <c r="D7" s="2" t="s">
        <v>69</v>
      </c>
      <c r="E7" s="2" t="s">
        <v>30</v>
      </c>
      <c r="F7" s="7" t="s">
        <v>70</v>
      </c>
      <c r="G7" s="7" t="s">
        <v>71</v>
      </c>
      <c r="I7" s="7" t="s">
        <v>72</v>
      </c>
      <c r="J7" s="2" t="s">
        <v>73</v>
      </c>
      <c r="L7" s="2" t="s">
        <v>74</v>
      </c>
      <c r="M7" s="8">
        <v>2023</v>
      </c>
      <c r="N7" s="8">
        <v>6</v>
      </c>
      <c r="O7" s="8">
        <v>9</v>
      </c>
      <c r="P7" s="9">
        <v>1465000</v>
      </c>
      <c r="Q7" s="10">
        <f t="shared" si="5"/>
        <v>48063504</v>
      </c>
      <c r="R7" s="10">
        <f t="shared" si="0"/>
        <v>49528504</v>
      </c>
      <c r="S7" s="10">
        <v>36723641.25</v>
      </c>
      <c r="T7" s="11">
        <f t="shared" si="1"/>
        <v>0.5</v>
      </c>
      <c r="U7" s="10">
        <f t="shared" si="2"/>
        <v>6402431.375</v>
      </c>
      <c r="V7" s="10">
        <f t="shared" si="3"/>
        <v>43126072.625</v>
      </c>
      <c r="W7" s="10">
        <f t="shared" si="4"/>
        <v>6402431.375</v>
      </c>
      <c r="X7" s="10">
        <v>1</v>
      </c>
      <c r="Y7" s="2" t="s">
        <v>36</v>
      </c>
      <c r="Z7" s="8">
        <v>50</v>
      </c>
      <c r="AA7" s="8">
        <v>2</v>
      </c>
      <c r="AB7" s="2" t="s">
        <v>37</v>
      </c>
    </row>
    <row r="8" s="2" customFormat="1" spans="1:28">
      <c r="A8" s="2" t="s">
        <v>75</v>
      </c>
      <c r="C8" s="2" t="s">
        <v>76</v>
      </c>
      <c r="D8" s="2" t="s">
        <v>77</v>
      </c>
      <c r="E8" s="2" t="s">
        <v>30</v>
      </c>
      <c r="F8" s="2" t="s">
        <v>78</v>
      </c>
      <c r="G8" s="7" t="s">
        <v>79</v>
      </c>
      <c r="I8" s="2" t="s">
        <v>80</v>
      </c>
      <c r="J8" s="2" t="s">
        <v>81</v>
      </c>
      <c r="L8" s="2" t="s">
        <v>82</v>
      </c>
      <c r="M8" s="8">
        <v>2023</v>
      </c>
      <c r="N8" s="8">
        <v>6</v>
      </c>
      <c r="O8" s="8">
        <v>12</v>
      </c>
      <c r="P8" s="9">
        <v>745000</v>
      </c>
      <c r="Q8" s="10">
        <f t="shared" si="5"/>
        <v>49528504</v>
      </c>
      <c r="R8" s="10">
        <f t="shared" si="0"/>
        <v>50273504</v>
      </c>
      <c r="S8" s="10">
        <v>36723641.25</v>
      </c>
      <c r="T8" s="11">
        <v>0.5</v>
      </c>
      <c r="U8" s="10">
        <f t="shared" si="2"/>
        <v>6774931.375</v>
      </c>
      <c r="V8" s="10">
        <f t="shared" si="3"/>
        <v>43498572.625</v>
      </c>
      <c r="W8" s="10">
        <f t="shared" si="4"/>
        <v>6774931.375</v>
      </c>
      <c r="X8" s="10">
        <v>1</v>
      </c>
      <c r="Y8" s="2" t="s">
        <v>36</v>
      </c>
      <c r="Z8" s="8">
        <v>50</v>
      </c>
      <c r="AA8" s="8">
        <v>2</v>
      </c>
      <c r="AB8" s="2" t="s">
        <v>37</v>
      </c>
    </row>
    <row r="9" s="2" customFormat="1" spans="1:28">
      <c r="A9" s="2" t="s">
        <v>27</v>
      </c>
      <c r="C9" s="2" t="s">
        <v>83</v>
      </c>
      <c r="D9" s="2" t="s">
        <v>84</v>
      </c>
      <c r="E9" s="2" t="s">
        <v>30</v>
      </c>
      <c r="F9" s="2" t="s">
        <v>85</v>
      </c>
      <c r="G9" s="7" t="s">
        <v>64</v>
      </c>
      <c r="I9" s="2" t="s">
        <v>86</v>
      </c>
      <c r="J9" s="2" t="s">
        <v>87</v>
      </c>
      <c r="L9" s="2" t="s">
        <v>88</v>
      </c>
      <c r="M9" s="8">
        <v>2023</v>
      </c>
      <c r="N9" s="8">
        <v>6</v>
      </c>
      <c r="O9" s="8">
        <v>20</v>
      </c>
      <c r="P9" s="9">
        <v>676000</v>
      </c>
      <c r="Q9" s="10">
        <f t="shared" si="5"/>
        <v>50273504</v>
      </c>
      <c r="R9" s="10">
        <f t="shared" si="0"/>
        <v>50949504</v>
      </c>
      <c r="S9" s="10">
        <v>36723641.25</v>
      </c>
      <c r="T9" s="11">
        <f t="shared" ref="T9:T52" si="6">Z9/100</f>
        <v>0.5</v>
      </c>
      <c r="U9" s="10">
        <f t="shared" si="2"/>
        <v>7112931.375</v>
      </c>
      <c r="V9" s="10">
        <f t="shared" si="3"/>
        <v>43836572.625</v>
      </c>
      <c r="W9" s="10">
        <f t="shared" si="4"/>
        <v>7112931.375</v>
      </c>
      <c r="X9" s="10">
        <v>1</v>
      </c>
      <c r="Y9" s="2" t="s">
        <v>36</v>
      </c>
      <c r="Z9" s="8">
        <v>50</v>
      </c>
      <c r="AA9" s="8">
        <v>2</v>
      </c>
      <c r="AB9" s="2" t="s">
        <v>37</v>
      </c>
    </row>
    <row r="10" s="2" customFormat="1" spans="1:28">
      <c r="A10" s="2" t="s">
        <v>89</v>
      </c>
      <c r="C10" s="2" t="s">
        <v>89</v>
      </c>
      <c r="D10" s="2" t="s">
        <v>90</v>
      </c>
      <c r="E10" s="2" t="s">
        <v>30</v>
      </c>
      <c r="F10" s="2" t="s">
        <v>91</v>
      </c>
      <c r="G10" s="7" t="s">
        <v>64</v>
      </c>
      <c r="I10" s="2" t="s">
        <v>92</v>
      </c>
      <c r="J10" s="2" t="s">
        <v>93</v>
      </c>
      <c r="L10" s="2" t="s">
        <v>94</v>
      </c>
      <c r="M10" s="8">
        <v>2023</v>
      </c>
      <c r="N10" s="8">
        <v>6</v>
      </c>
      <c r="O10" s="8">
        <v>20</v>
      </c>
      <c r="P10" s="9">
        <v>750000</v>
      </c>
      <c r="Q10" s="10">
        <f t="shared" si="5"/>
        <v>50949504</v>
      </c>
      <c r="R10" s="10">
        <f t="shared" si="0"/>
        <v>51699504</v>
      </c>
      <c r="S10" s="10">
        <v>36723641.25</v>
      </c>
      <c r="T10" s="11">
        <f t="shared" si="6"/>
        <v>0.5</v>
      </c>
      <c r="U10" s="10">
        <f t="shared" si="2"/>
        <v>7487931.375</v>
      </c>
      <c r="V10" s="10">
        <f t="shared" si="3"/>
        <v>44211572.625</v>
      </c>
      <c r="W10" s="10">
        <f t="shared" si="4"/>
        <v>7487931.375</v>
      </c>
      <c r="X10" s="10">
        <v>1</v>
      </c>
      <c r="Y10" s="2" t="s">
        <v>36</v>
      </c>
      <c r="Z10" s="8">
        <v>50</v>
      </c>
      <c r="AA10" s="8">
        <v>2</v>
      </c>
      <c r="AB10" s="2" t="s">
        <v>37</v>
      </c>
    </row>
    <row r="11" s="2" customFormat="1" spans="1:28">
      <c r="A11" s="2" t="s">
        <v>75</v>
      </c>
      <c r="C11" s="2" t="s">
        <v>95</v>
      </c>
      <c r="D11" s="2" t="s">
        <v>96</v>
      </c>
      <c r="E11" s="2" t="s">
        <v>30</v>
      </c>
      <c r="F11" s="2" t="s">
        <v>97</v>
      </c>
      <c r="G11" s="7" t="s">
        <v>71</v>
      </c>
      <c r="I11" s="2" t="s">
        <v>97</v>
      </c>
      <c r="J11" s="2" t="s">
        <v>98</v>
      </c>
      <c r="L11" s="2" t="s">
        <v>99</v>
      </c>
      <c r="M11" s="8">
        <v>2023</v>
      </c>
      <c r="N11" s="8">
        <v>6</v>
      </c>
      <c r="O11" s="8">
        <v>26</v>
      </c>
      <c r="P11" s="9">
        <v>3514000</v>
      </c>
      <c r="Q11" s="10">
        <f t="shared" si="5"/>
        <v>51699504</v>
      </c>
      <c r="R11" s="10">
        <f t="shared" si="0"/>
        <v>55213504</v>
      </c>
      <c r="S11" s="10">
        <v>36723641.25</v>
      </c>
      <c r="T11" s="11">
        <f t="shared" si="6"/>
        <v>0.5</v>
      </c>
      <c r="U11" s="10">
        <f t="shared" si="2"/>
        <v>9244931.375</v>
      </c>
      <c r="V11" s="10">
        <f t="shared" si="3"/>
        <v>45968572.625</v>
      </c>
      <c r="W11" s="10">
        <f t="shared" si="4"/>
        <v>9244931.375</v>
      </c>
      <c r="X11" s="10">
        <v>1</v>
      </c>
      <c r="Y11" s="2" t="s">
        <v>36</v>
      </c>
      <c r="Z11" s="8">
        <v>50</v>
      </c>
      <c r="AA11" s="8">
        <v>2</v>
      </c>
      <c r="AB11" s="2" t="s">
        <v>37</v>
      </c>
    </row>
    <row r="12" s="2" customFormat="1" spans="1:28">
      <c r="A12" s="2" t="s">
        <v>27</v>
      </c>
      <c r="C12" s="2" t="s">
        <v>100</v>
      </c>
      <c r="D12" s="2" t="s">
        <v>101</v>
      </c>
      <c r="E12" s="2" t="s">
        <v>30</v>
      </c>
      <c r="F12" s="2" t="s">
        <v>102</v>
      </c>
      <c r="G12" s="7" t="s">
        <v>64</v>
      </c>
      <c r="I12" s="2" t="s">
        <v>103</v>
      </c>
      <c r="J12" s="2" t="s">
        <v>104</v>
      </c>
      <c r="L12" s="2" t="s">
        <v>105</v>
      </c>
      <c r="M12" s="8">
        <v>2023</v>
      </c>
      <c r="N12" s="8">
        <v>7</v>
      </c>
      <c r="O12" s="8">
        <v>6</v>
      </c>
      <c r="P12" s="9">
        <v>390000</v>
      </c>
      <c r="Q12" s="10">
        <f t="shared" si="5"/>
        <v>55213504</v>
      </c>
      <c r="R12" s="10">
        <f t="shared" si="0"/>
        <v>55603504</v>
      </c>
      <c r="S12" s="10">
        <v>36723641.25</v>
      </c>
      <c r="T12" s="11">
        <f t="shared" si="6"/>
        <v>0.5</v>
      </c>
      <c r="U12" s="10">
        <f t="shared" si="2"/>
        <v>9439931.375</v>
      </c>
      <c r="V12" s="10">
        <f t="shared" si="3"/>
        <v>46163572.625</v>
      </c>
      <c r="W12" s="10">
        <f t="shared" si="4"/>
        <v>9439931.375</v>
      </c>
      <c r="X12" s="10">
        <v>1</v>
      </c>
      <c r="Y12" s="2" t="s">
        <v>36</v>
      </c>
      <c r="Z12" s="8">
        <v>50</v>
      </c>
      <c r="AA12" s="8">
        <v>2</v>
      </c>
      <c r="AB12" s="2" t="s">
        <v>37</v>
      </c>
    </row>
    <row r="13" s="2" customFormat="1" spans="1:28">
      <c r="A13" s="2" t="s">
        <v>53</v>
      </c>
      <c r="C13" s="2" t="s">
        <v>106</v>
      </c>
      <c r="D13" s="2" t="s">
        <v>107</v>
      </c>
      <c r="E13" s="2" t="s">
        <v>30</v>
      </c>
      <c r="F13" s="2" t="s">
        <v>108</v>
      </c>
      <c r="G13" s="7" t="s">
        <v>64</v>
      </c>
      <c r="I13" s="2" t="s">
        <v>108</v>
      </c>
      <c r="J13" s="2" t="s">
        <v>109</v>
      </c>
      <c r="L13" s="2" t="s">
        <v>110</v>
      </c>
      <c r="M13" s="8">
        <v>2023</v>
      </c>
      <c r="N13" s="8">
        <v>7</v>
      </c>
      <c r="O13" s="8">
        <v>6</v>
      </c>
      <c r="P13" s="9">
        <v>245000</v>
      </c>
      <c r="Q13" s="10">
        <f t="shared" si="5"/>
        <v>55603504</v>
      </c>
      <c r="R13" s="10">
        <f t="shared" si="0"/>
        <v>55848504</v>
      </c>
      <c r="S13" s="10">
        <v>36723641.25</v>
      </c>
      <c r="T13" s="11">
        <f t="shared" si="6"/>
        <v>0.5</v>
      </c>
      <c r="U13" s="10">
        <f t="shared" si="2"/>
        <v>9562431.375</v>
      </c>
      <c r="V13" s="10">
        <f t="shared" si="3"/>
        <v>46286072.625</v>
      </c>
      <c r="W13" s="10">
        <f t="shared" si="4"/>
        <v>9562431.375</v>
      </c>
      <c r="X13" s="10">
        <v>1</v>
      </c>
      <c r="Y13" s="2" t="s">
        <v>36</v>
      </c>
      <c r="Z13" s="8">
        <v>50</v>
      </c>
      <c r="AA13" s="8">
        <v>2</v>
      </c>
      <c r="AB13" s="2" t="s">
        <v>37</v>
      </c>
    </row>
    <row r="14" s="2" customFormat="1" ht="16" customHeight="1" spans="1:28">
      <c r="A14" s="2" t="s">
        <v>67</v>
      </c>
      <c r="C14" s="2" t="s">
        <v>111</v>
      </c>
      <c r="D14" s="2" t="s">
        <v>112</v>
      </c>
      <c r="E14" s="2" t="s">
        <v>30</v>
      </c>
      <c r="F14" s="2" t="s">
        <v>113</v>
      </c>
      <c r="G14" s="7" t="s">
        <v>42</v>
      </c>
      <c r="I14" s="2" t="s">
        <v>114</v>
      </c>
      <c r="J14" s="2" t="s">
        <v>115</v>
      </c>
      <c r="L14" s="2" t="s">
        <v>116</v>
      </c>
      <c r="M14" s="8">
        <v>2023</v>
      </c>
      <c r="N14" s="8">
        <v>9</v>
      </c>
      <c r="O14" s="8">
        <v>28</v>
      </c>
      <c r="P14" s="9">
        <v>550000</v>
      </c>
      <c r="Q14" s="10">
        <f t="shared" si="5"/>
        <v>55848504</v>
      </c>
      <c r="R14" s="10">
        <f t="shared" si="0"/>
        <v>56398504</v>
      </c>
      <c r="S14" s="10">
        <v>36723641.25</v>
      </c>
      <c r="T14" s="11">
        <f t="shared" si="6"/>
        <v>0.5</v>
      </c>
      <c r="U14" s="10">
        <f t="shared" si="2"/>
        <v>9837431.375</v>
      </c>
      <c r="V14" s="10">
        <f t="shared" si="3"/>
        <v>46561072.625</v>
      </c>
      <c r="W14" s="10">
        <f t="shared" si="4"/>
        <v>9837431.375</v>
      </c>
      <c r="X14" s="10">
        <v>1</v>
      </c>
      <c r="Y14" s="2" t="s">
        <v>36</v>
      </c>
      <c r="Z14" s="8">
        <v>50</v>
      </c>
      <c r="AA14" s="8">
        <v>2</v>
      </c>
      <c r="AB14" s="2" t="s">
        <v>37</v>
      </c>
    </row>
    <row r="15" s="2" customFormat="1" spans="1:28">
      <c r="A15" s="2" t="s">
        <v>117</v>
      </c>
      <c r="C15" s="2" t="s">
        <v>118</v>
      </c>
      <c r="D15" s="2" t="s">
        <v>119</v>
      </c>
      <c r="E15" s="2" t="s">
        <v>30</v>
      </c>
      <c r="F15" s="2" t="s">
        <v>120</v>
      </c>
      <c r="G15" s="7" t="s">
        <v>42</v>
      </c>
      <c r="I15" s="2" t="s">
        <v>121</v>
      </c>
      <c r="J15" s="2" t="s">
        <v>122</v>
      </c>
      <c r="L15" s="2" t="s">
        <v>123</v>
      </c>
      <c r="M15" s="8">
        <v>2023</v>
      </c>
      <c r="N15" s="8">
        <v>9</v>
      </c>
      <c r="O15" s="8">
        <v>28</v>
      </c>
      <c r="P15" s="9">
        <v>550000</v>
      </c>
      <c r="Q15" s="10">
        <f t="shared" si="5"/>
        <v>56398504</v>
      </c>
      <c r="R15" s="10">
        <f t="shared" si="0"/>
        <v>56948504</v>
      </c>
      <c r="S15" s="10">
        <v>36723641.25</v>
      </c>
      <c r="T15" s="11">
        <f t="shared" si="6"/>
        <v>0.5</v>
      </c>
      <c r="U15" s="10">
        <f t="shared" si="2"/>
        <v>10112431.375</v>
      </c>
      <c r="V15" s="10">
        <f t="shared" si="3"/>
        <v>46836072.625</v>
      </c>
      <c r="W15" s="10">
        <f t="shared" si="4"/>
        <v>10112431.375</v>
      </c>
      <c r="X15" s="10">
        <v>1</v>
      </c>
      <c r="Y15" s="2" t="s">
        <v>36</v>
      </c>
      <c r="Z15" s="8">
        <v>50</v>
      </c>
      <c r="AA15" s="8">
        <v>2</v>
      </c>
      <c r="AB15" s="2" t="s">
        <v>37</v>
      </c>
    </row>
    <row r="16" s="2" customFormat="1" spans="1:28">
      <c r="A16" s="2" t="s">
        <v>27</v>
      </c>
      <c r="C16" s="2" t="s">
        <v>124</v>
      </c>
      <c r="D16" s="2" t="s">
        <v>125</v>
      </c>
      <c r="E16" s="2" t="s">
        <v>30</v>
      </c>
      <c r="F16" s="2" t="s">
        <v>126</v>
      </c>
      <c r="G16" s="7" t="s">
        <v>42</v>
      </c>
      <c r="I16" s="2" t="s">
        <v>127</v>
      </c>
      <c r="J16" s="2" t="s">
        <v>128</v>
      </c>
      <c r="L16" s="2" t="s">
        <v>129</v>
      </c>
      <c r="M16" s="8">
        <v>2023</v>
      </c>
      <c r="N16" s="8">
        <v>9</v>
      </c>
      <c r="O16" s="8">
        <v>28</v>
      </c>
      <c r="P16" s="9">
        <v>100000</v>
      </c>
      <c r="Q16" s="10">
        <f t="shared" si="5"/>
        <v>56948504</v>
      </c>
      <c r="R16" s="10">
        <f t="shared" si="0"/>
        <v>57048504</v>
      </c>
      <c r="S16" s="10">
        <v>36723641.25</v>
      </c>
      <c r="T16" s="11">
        <f t="shared" si="6"/>
        <v>0.5</v>
      </c>
      <c r="U16" s="10">
        <f t="shared" si="2"/>
        <v>10162431.375</v>
      </c>
      <c r="V16" s="10">
        <f t="shared" si="3"/>
        <v>46886072.625</v>
      </c>
      <c r="W16" s="10">
        <f t="shared" si="4"/>
        <v>10162431.375</v>
      </c>
      <c r="X16" s="10">
        <v>1</v>
      </c>
      <c r="Y16" s="2" t="s">
        <v>36</v>
      </c>
      <c r="Z16" s="8">
        <v>50</v>
      </c>
      <c r="AA16" s="8">
        <v>2</v>
      </c>
      <c r="AB16" s="2" t="s">
        <v>37</v>
      </c>
    </row>
    <row r="17" s="2" customFormat="1" spans="1:30">
      <c r="A17" s="2" t="s">
        <v>130</v>
      </c>
      <c r="C17" s="2" t="s">
        <v>131</v>
      </c>
      <c r="D17" s="2" t="s">
        <v>132</v>
      </c>
      <c r="E17" s="2" t="s">
        <v>30</v>
      </c>
      <c r="F17" s="2" t="s">
        <v>133</v>
      </c>
      <c r="G17" s="7" t="s">
        <v>79</v>
      </c>
      <c r="I17" s="2" t="s">
        <v>133</v>
      </c>
      <c r="J17" s="2" t="s">
        <v>134</v>
      </c>
      <c r="L17" s="2" t="s">
        <v>135</v>
      </c>
      <c r="M17" s="8">
        <v>2023</v>
      </c>
      <c r="N17" s="8">
        <v>10</v>
      </c>
      <c r="O17" s="8">
        <v>8</v>
      </c>
      <c r="P17" s="9">
        <v>550000</v>
      </c>
      <c r="Q17" s="10">
        <f t="shared" si="5"/>
        <v>57048504</v>
      </c>
      <c r="R17" s="10">
        <f t="shared" si="0"/>
        <v>57598504</v>
      </c>
      <c r="S17" s="10">
        <v>36723641.25</v>
      </c>
      <c r="T17" s="11">
        <f t="shared" si="6"/>
        <v>0.5</v>
      </c>
      <c r="U17" s="10">
        <f t="shared" si="2"/>
        <v>10437431.375</v>
      </c>
      <c r="V17" s="10">
        <f t="shared" si="3"/>
        <v>47161072.625</v>
      </c>
      <c r="W17" s="10">
        <f t="shared" si="4"/>
        <v>10437431.375</v>
      </c>
      <c r="X17" s="10">
        <v>1</v>
      </c>
      <c r="Y17" s="2" t="s">
        <v>36</v>
      </c>
      <c r="Z17" s="8">
        <v>50</v>
      </c>
      <c r="AA17" s="8">
        <v>2</v>
      </c>
      <c r="AB17" s="2" t="s">
        <v>37</v>
      </c>
    </row>
    <row r="18" s="2" customFormat="1" spans="1:30">
      <c r="A18" s="2" t="s">
        <v>130</v>
      </c>
      <c r="C18" s="2" t="s">
        <v>136</v>
      </c>
      <c r="D18" s="2" t="s">
        <v>137</v>
      </c>
      <c r="E18" s="2" t="s">
        <v>30</v>
      </c>
      <c r="F18" s="2" t="s">
        <v>138</v>
      </c>
      <c r="G18" s="7" t="s">
        <v>79</v>
      </c>
      <c r="I18" s="2" t="s">
        <v>138</v>
      </c>
      <c r="J18" s="2" t="s">
        <v>139</v>
      </c>
      <c r="L18" s="2" t="s">
        <v>140</v>
      </c>
      <c r="M18" s="8">
        <v>2023</v>
      </c>
      <c r="N18" s="8">
        <v>10</v>
      </c>
      <c r="O18" s="8">
        <v>8</v>
      </c>
      <c r="P18" s="9">
        <v>690000</v>
      </c>
      <c r="Q18" s="10">
        <f t="shared" si="5"/>
        <v>57598504</v>
      </c>
      <c r="R18" s="10">
        <f t="shared" si="0"/>
        <v>58288504</v>
      </c>
      <c r="S18" s="10">
        <v>36723641.25</v>
      </c>
      <c r="T18" s="11">
        <f t="shared" si="6"/>
        <v>0.5</v>
      </c>
      <c r="U18" s="10">
        <f t="shared" si="2"/>
        <v>10782431.375</v>
      </c>
      <c r="V18" s="10">
        <f t="shared" si="3"/>
        <v>47506072.625</v>
      </c>
      <c r="W18" s="10">
        <f t="shared" si="4"/>
        <v>10782431.375</v>
      </c>
      <c r="X18" s="10">
        <v>1</v>
      </c>
      <c r="Y18" s="2" t="s">
        <v>36</v>
      </c>
      <c r="Z18" s="8">
        <v>50</v>
      </c>
      <c r="AA18" s="8">
        <v>2</v>
      </c>
      <c r="AB18" s="2" t="s">
        <v>37</v>
      </c>
    </row>
    <row r="19" s="3" customFormat="1" spans="1:30">
      <c r="A19" s="3" t="s">
        <v>53</v>
      </c>
      <c r="C19" s="3" t="s">
        <v>141</v>
      </c>
      <c r="D19" s="3" t="s">
        <v>142</v>
      </c>
      <c r="E19" s="3" t="s">
        <v>30</v>
      </c>
      <c r="F19" s="3" t="s">
        <v>143</v>
      </c>
      <c r="G19" s="12" t="s">
        <v>144</v>
      </c>
      <c r="I19" s="3" t="s">
        <v>145</v>
      </c>
      <c r="J19" s="3" t="s">
        <v>146</v>
      </c>
      <c r="L19" s="3" t="s">
        <v>147</v>
      </c>
      <c r="M19" s="13">
        <v>2023</v>
      </c>
      <c r="N19" s="13">
        <v>10</v>
      </c>
      <c r="O19" s="13">
        <v>11</v>
      </c>
      <c r="P19" s="14">
        <v>1426000</v>
      </c>
      <c r="Q19" s="15">
        <f t="shared" si="5"/>
        <v>58288504</v>
      </c>
      <c r="R19" s="15">
        <f t="shared" si="0"/>
        <v>59714504</v>
      </c>
      <c r="S19" s="15">
        <v>36723641</v>
      </c>
      <c r="T19" s="16">
        <f t="shared" si="6"/>
        <v>0.5</v>
      </c>
      <c r="U19" s="17">
        <f>(R19-S19)*T19+766000</f>
        <v>12261431.5</v>
      </c>
      <c r="V19" s="17">
        <f>S19+U19+3300</f>
        <v>48988372.5</v>
      </c>
      <c r="W19" s="15">
        <f t="shared" si="4"/>
        <v>10726131.5</v>
      </c>
      <c r="X19" s="15">
        <v>1</v>
      </c>
      <c r="Y19" s="3" t="s">
        <v>36</v>
      </c>
      <c r="Z19" s="13">
        <v>50</v>
      </c>
      <c r="AA19" s="13">
        <v>2</v>
      </c>
      <c r="AB19" s="3" t="s">
        <v>37</v>
      </c>
    </row>
    <row r="20" s="2" customFormat="1" spans="1:30">
      <c r="A20" s="2" t="s">
        <v>148</v>
      </c>
      <c r="C20" s="2" t="s">
        <v>149</v>
      </c>
      <c r="D20" s="2" t="s">
        <v>150</v>
      </c>
      <c r="E20" s="2" t="s">
        <v>30</v>
      </c>
      <c r="F20" s="2" t="s">
        <v>151</v>
      </c>
      <c r="G20" s="7" t="s">
        <v>152</v>
      </c>
      <c r="I20" s="2" t="s">
        <v>153</v>
      </c>
      <c r="J20" s="2" t="s">
        <v>154</v>
      </c>
      <c r="L20" s="2" t="s">
        <v>155</v>
      </c>
      <c r="M20" s="8">
        <v>2024</v>
      </c>
      <c r="N20" s="8">
        <v>1</v>
      </c>
      <c r="O20" s="8">
        <v>6</v>
      </c>
      <c r="P20" s="9">
        <v>420000</v>
      </c>
      <c r="Q20" s="10">
        <f t="shared" si="5"/>
        <v>59714504</v>
      </c>
      <c r="R20" s="10">
        <f t="shared" si="0"/>
        <v>60134504</v>
      </c>
      <c r="S20" s="10">
        <v>48635373</v>
      </c>
      <c r="T20" s="11">
        <f t="shared" si="6"/>
        <v>0.5</v>
      </c>
      <c r="U20" s="10">
        <f t="shared" ref="U20:U52" si="7">(R20-S20)*T20</f>
        <v>5749565.5</v>
      </c>
      <c r="V20" s="10">
        <f t="shared" ref="V20:V52" si="8">S20+U20</f>
        <v>54384938.5</v>
      </c>
      <c r="W20" s="10">
        <f t="shared" si="4"/>
        <v>5749565.5</v>
      </c>
      <c r="X20" s="10">
        <v>1</v>
      </c>
      <c r="Y20" s="2" t="s">
        <v>36</v>
      </c>
      <c r="Z20" s="8">
        <v>50</v>
      </c>
      <c r="AA20" s="8">
        <v>2</v>
      </c>
      <c r="AB20" s="2" t="s">
        <v>37</v>
      </c>
    </row>
    <row r="21" s="2" customFormat="1" spans="1:30">
      <c r="A21" s="2" t="s">
        <v>27</v>
      </c>
      <c r="C21" s="2" t="s">
        <v>156</v>
      </c>
      <c r="D21" s="2" t="s">
        <v>157</v>
      </c>
      <c r="E21" s="2" t="s">
        <v>30</v>
      </c>
      <c r="F21" s="2" t="s">
        <v>158</v>
      </c>
      <c r="G21" s="7" t="s">
        <v>71</v>
      </c>
      <c r="I21" s="2" t="s">
        <v>159</v>
      </c>
      <c r="J21" s="2" t="s">
        <v>160</v>
      </c>
      <c r="L21" s="2" t="s">
        <v>161</v>
      </c>
      <c r="M21" s="8">
        <v>2024</v>
      </c>
      <c r="N21" s="8">
        <v>1</v>
      </c>
      <c r="O21" s="8">
        <v>9</v>
      </c>
      <c r="P21" s="9">
        <v>950000</v>
      </c>
      <c r="Q21" s="10">
        <f t="shared" si="5"/>
        <v>60134504</v>
      </c>
      <c r="R21" s="10">
        <f t="shared" si="0"/>
        <v>61084504</v>
      </c>
      <c r="S21" s="10">
        <v>48635373</v>
      </c>
      <c r="T21" s="11">
        <f t="shared" si="6"/>
        <v>0.5</v>
      </c>
      <c r="U21" s="10">
        <f t="shared" si="7"/>
        <v>6224565.5</v>
      </c>
      <c r="V21" s="10">
        <f t="shared" si="8"/>
        <v>54859938.5</v>
      </c>
      <c r="W21" s="10">
        <f t="shared" si="4"/>
        <v>6224565.5</v>
      </c>
      <c r="X21" s="10">
        <v>1</v>
      </c>
      <c r="Y21" s="2" t="s">
        <v>36</v>
      </c>
      <c r="Z21" s="8">
        <v>50</v>
      </c>
      <c r="AA21" s="8">
        <v>2</v>
      </c>
      <c r="AB21" s="2" t="s">
        <v>37</v>
      </c>
    </row>
    <row r="22" s="2" customFormat="1" spans="1:30">
      <c r="A22" s="2" t="s">
        <v>162</v>
      </c>
      <c r="C22" s="2" t="s">
        <v>163</v>
      </c>
      <c r="D22" s="2" t="s">
        <v>164</v>
      </c>
      <c r="E22" s="2" t="s">
        <v>30</v>
      </c>
      <c r="F22" s="2" t="s">
        <v>165</v>
      </c>
      <c r="G22" s="7" t="s">
        <v>166</v>
      </c>
      <c r="I22" s="2" t="s">
        <v>167</v>
      </c>
      <c r="J22" s="2" t="s">
        <v>168</v>
      </c>
      <c r="L22" s="2" t="s">
        <v>169</v>
      </c>
      <c r="M22" s="8">
        <v>2024</v>
      </c>
      <c r="N22" s="8">
        <v>1</v>
      </c>
      <c r="O22" s="8">
        <v>19</v>
      </c>
      <c r="P22" s="9">
        <v>700000</v>
      </c>
      <c r="Q22" s="10">
        <f t="shared" si="5"/>
        <v>61084504</v>
      </c>
      <c r="R22" s="10">
        <f t="shared" si="0"/>
        <v>61784504</v>
      </c>
      <c r="S22" s="10">
        <v>48635373</v>
      </c>
      <c r="T22" s="11">
        <f t="shared" si="6"/>
        <v>0.5</v>
      </c>
      <c r="U22" s="10">
        <f t="shared" si="7"/>
        <v>6574565.5</v>
      </c>
      <c r="V22" s="10">
        <f t="shared" si="8"/>
        <v>55209938.5</v>
      </c>
      <c r="W22" s="10">
        <f t="shared" si="4"/>
        <v>6574565.5</v>
      </c>
      <c r="X22" s="10">
        <v>1</v>
      </c>
      <c r="Y22" s="2" t="s">
        <v>36</v>
      </c>
      <c r="Z22" s="8">
        <v>50</v>
      </c>
      <c r="AA22" s="8">
        <v>2</v>
      </c>
      <c r="AB22" s="2" t="s">
        <v>37</v>
      </c>
    </row>
    <row r="23" s="2" customFormat="1" spans="1:30">
      <c r="A23" s="2" t="s">
        <v>170</v>
      </c>
      <c r="C23" s="2" t="s">
        <v>171</v>
      </c>
      <c r="D23" s="2" t="s">
        <v>172</v>
      </c>
      <c r="E23" s="2" t="s">
        <v>30</v>
      </c>
      <c r="F23" s="2" t="s">
        <v>173</v>
      </c>
      <c r="G23" s="7" t="s">
        <v>166</v>
      </c>
      <c r="I23" s="2" t="s">
        <v>174</v>
      </c>
      <c r="J23" s="2" t="s">
        <v>175</v>
      </c>
      <c r="L23" s="2" t="s">
        <v>176</v>
      </c>
      <c r="M23" s="8">
        <v>2024</v>
      </c>
      <c r="N23" s="8">
        <v>1</v>
      </c>
      <c r="O23" s="8">
        <v>19</v>
      </c>
      <c r="P23" s="9">
        <v>700000</v>
      </c>
      <c r="Q23" s="10">
        <f t="shared" si="5"/>
        <v>61784504</v>
      </c>
      <c r="R23" s="10">
        <f t="shared" si="0"/>
        <v>62484504</v>
      </c>
      <c r="S23" s="10">
        <v>48635373</v>
      </c>
      <c r="T23" s="11">
        <f t="shared" si="6"/>
        <v>0.5</v>
      </c>
      <c r="U23" s="10">
        <f t="shared" si="7"/>
        <v>6924565.5</v>
      </c>
      <c r="V23" s="10">
        <f t="shared" si="8"/>
        <v>55559938.5</v>
      </c>
      <c r="W23" s="10">
        <f t="shared" si="4"/>
        <v>6924565.5</v>
      </c>
      <c r="X23" s="10">
        <v>1</v>
      </c>
      <c r="Y23" s="2" t="s">
        <v>36</v>
      </c>
      <c r="Z23" s="8">
        <v>50</v>
      </c>
      <c r="AA23" s="8">
        <v>2</v>
      </c>
      <c r="AB23" s="2" t="s">
        <v>37</v>
      </c>
    </row>
    <row r="24" s="2" customFormat="1" spans="1:30">
      <c r="A24" s="2" t="s">
        <v>177</v>
      </c>
      <c r="C24" s="2" t="s">
        <v>178</v>
      </c>
      <c r="D24" s="2" t="s">
        <v>179</v>
      </c>
      <c r="E24" s="2" t="s">
        <v>30</v>
      </c>
      <c r="F24" s="2" t="s">
        <v>180</v>
      </c>
      <c r="G24" s="7" t="s">
        <v>166</v>
      </c>
      <c r="I24" s="2" t="s">
        <v>181</v>
      </c>
      <c r="J24" s="2" t="s">
        <v>182</v>
      </c>
      <c r="L24" s="2" t="s">
        <v>183</v>
      </c>
      <c r="M24" s="8">
        <v>2024</v>
      </c>
      <c r="N24" s="8">
        <v>1</v>
      </c>
      <c r="O24" s="8">
        <v>19</v>
      </c>
      <c r="P24" s="9">
        <v>70000</v>
      </c>
      <c r="Q24" s="10">
        <f t="shared" si="5"/>
        <v>62484504</v>
      </c>
      <c r="R24" s="10">
        <f t="shared" si="0"/>
        <v>62554504</v>
      </c>
      <c r="S24" s="10">
        <v>48635373</v>
      </c>
      <c r="T24" s="11">
        <f t="shared" si="6"/>
        <v>0.5</v>
      </c>
      <c r="U24" s="10">
        <f t="shared" si="7"/>
        <v>6959565.5</v>
      </c>
      <c r="V24" s="10">
        <f t="shared" si="8"/>
        <v>55594938.5</v>
      </c>
      <c r="W24" s="10">
        <f t="shared" si="4"/>
        <v>6959565.5</v>
      </c>
      <c r="X24" s="10">
        <v>1</v>
      </c>
      <c r="Y24" s="2" t="s">
        <v>36</v>
      </c>
      <c r="Z24" s="8">
        <v>50</v>
      </c>
      <c r="AA24" s="8">
        <v>2</v>
      </c>
      <c r="AB24" s="2" t="s">
        <v>37</v>
      </c>
    </row>
    <row r="25" s="2" customFormat="1" spans="1:30">
      <c r="A25" s="2" t="s">
        <v>130</v>
      </c>
      <c r="C25" s="2" t="s">
        <v>184</v>
      </c>
      <c r="D25" s="2" t="s">
        <v>185</v>
      </c>
      <c r="E25" s="2" t="s">
        <v>30</v>
      </c>
      <c r="F25" s="2" t="s">
        <v>186</v>
      </c>
      <c r="G25" s="7" t="s">
        <v>71</v>
      </c>
      <c r="I25" s="2" t="s">
        <v>187</v>
      </c>
      <c r="J25" s="2" t="s">
        <v>188</v>
      </c>
      <c r="L25" s="2" t="s">
        <v>189</v>
      </c>
      <c r="M25" s="8">
        <v>2024</v>
      </c>
      <c r="N25" s="8">
        <v>2</v>
      </c>
      <c r="O25" s="8">
        <v>7</v>
      </c>
      <c r="P25" s="9">
        <v>950000</v>
      </c>
      <c r="Q25" s="10">
        <f t="shared" si="5"/>
        <v>62554504</v>
      </c>
      <c r="R25" s="10">
        <f t="shared" si="0"/>
        <v>63504504</v>
      </c>
      <c r="S25" s="10">
        <v>48635373</v>
      </c>
      <c r="T25" s="11">
        <f t="shared" si="6"/>
        <v>0.5</v>
      </c>
      <c r="U25" s="10">
        <f t="shared" si="7"/>
        <v>7434565.5</v>
      </c>
      <c r="V25" s="10">
        <f t="shared" si="8"/>
        <v>56069938.5</v>
      </c>
      <c r="W25" s="10">
        <f t="shared" si="4"/>
        <v>7434565.5</v>
      </c>
      <c r="X25" s="10">
        <v>1</v>
      </c>
      <c r="Y25" s="2" t="s">
        <v>36</v>
      </c>
      <c r="Z25" s="8">
        <v>50</v>
      </c>
      <c r="AA25" s="8">
        <v>2</v>
      </c>
      <c r="AB25" s="2" t="s">
        <v>37</v>
      </c>
    </row>
    <row r="26" s="2" customFormat="1" spans="1:30">
      <c r="A26" s="2" t="s">
        <v>190</v>
      </c>
      <c r="C26" s="2" t="s">
        <v>191</v>
      </c>
      <c r="D26" s="2" t="s">
        <v>192</v>
      </c>
      <c r="E26" s="2" t="s">
        <v>30</v>
      </c>
      <c r="F26" s="2" t="s">
        <v>193</v>
      </c>
      <c r="G26" s="7" t="s">
        <v>194</v>
      </c>
      <c r="I26" s="2" t="s">
        <v>195</v>
      </c>
      <c r="J26" s="2" t="s">
        <v>196</v>
      </c>
      <c r="L26" s="2" t="s">
        <v>197</v>
      </c>
      <c r="M26" s="8">
        <v>2024</v>
      </c>
      <c r="N26" s="8">
        <v>2</v>
      </c>
      <c r="O26" s="8">
        <v>10</v>
      </c>
      <c r="P26" s="9">
        <v>700000</v>
      </c>
      <c r="Q26" s="10">
        <f t="shared" si="5"/>
        <v>63504504</v>
      </c>
      <c r="R26" s="10">
        <f t="shared" si="0"/>
        <v>64204504</v>
      </c>
      <c r="S26" s="10">
        <v>48635373</v>
      </c>
      <c r="T26" s="11">
        <f t="shared" si="6"/>
        <v>0.5</v>
      </c>
      <c r="U26" s="10">
        <f t="shared" si="7"/>
        <v>7784565.5</v>
      </c>
      <c r="V26" s="10">
        <f t="shared" si="8"/>
        <v>56419938.5</v>
      </c>
      <c r="W26" s="10">
        <f t="shared" si="4"/>
        <v>7784565.5</v>
      </c>
      <c r="X26" s="10">
        <v>1</v>
      </c>
      <c r="Y26" s="2" t="s">
        <v>36</v>
      </c>
      <c r="Z26" s="8">
        <v>50</v>
      </c>
      <c r="AA26" s="8">
        <v>2</v>
      </c>
      <c r="AB26" s="2" t="s">
        <v>37</v>
      </c>
    </row>
    <row r="27" s="2" customFormat="1" spans="1:30">
      <c r="A27" s="2" t="s">
        <v>198</v>
      </c>
      <c r="C27" s="2" t="s">
        <v>199</v>
      </c>
      <c r="D27" s="2" t="s">
        <v>200</v>
      </c>
      <c r="E27" s="2" t="s">
        <v>30</v>
      </c>
      <c r="F27" s="2" t="s">
        <v>201</v>
      </c>
      <c r="G27" s="7" t="s">
        <v>64</v>
      </c>
      <c r="I27" s="2" t="s">
        <v>201</v>
      </c>
      <c r="J27" s="2" t="s">
        <v>202</v>
      </c>
      <c r="L27" s="2" t="s">
        <v>203</v>
      </c>
      <c r="M27" s="8">
        <v>2024</v>
      </c>
      <c r="N27" s="8">
        <v>4</v>
      </c>
      <c r="O27" s="8">
        <v>4</v>
      </c>
      <c r="P27" s="9">
        <v>850000</v>
      </c>
      <c r="Q27" s="10">
        <f t="shared" si="5"/>
        <v>64204504</v>
      </c>
      <c r="R27" s="10">
        <f t="shared" si="0"/>
        <v>65054504</v>
      </c>
      <c r="S27" s="10">
        <v>48635373</v>
      </c>
      <c r="T27" s="11">
        <f t="shared" si="6"/>
        <v>0.5</v>
      </c>
      <c r="U27" s="10">
        <f t="shared" si="7"/>
        <v>8209565.5</v>
      </c>
      <c r="V27" s="10">
        <f t="shared" si="8"/>
        <v>56844938.5</v>
      </c>
      <c r="W27" s="10">
        <f t="shared" si="4"/>
        <v>8209565.5</v>
      </c>
      <c r="X27" s="10">
        <v>1</v>
      </c>
      <c r="Y27" s="2" t="s">
        <v>36</v>
      </c>
      <c r="Z27" s="8">
        <v>50</v>
      </c>
      <c r="AA27" s="8">
        <v>2</v>
      </c>
      <c r="AB27" s="2" t="s">
        <v>37</v>
      </c>
    </row>
    <row r="28" s="2" customFormat="1" spans="1:30">
      <c r="A28" s="2" t="s">
        <v>204</v>
      </c>
      <c r="C28" s="2" t="s">
        <v>205</v>
      </c>
      <c r="D28" s="2" t="s">
        <v>206</v>
      </c>
      <c r="E28" s="2" t="s">
        <v>30</v>
      </c>
      <c r="F28" s="2" t="s">
        <v>207</v>
      </c>
      <c r="G28" s="7" t="s">
        <v>194</v>
      </c>
      <c r="I28" s="2" t="s">
        <v>208</v>
      </c>
      <c r="J28" s="2" t="s">
        <v>209</v>
      </c>
      <c r="L28" s="2" t="s">
        <v>210</v>
      </c>
      <c r="M28" s="8">
        <v>2024</v>
      </c>
      <c r="N28" s="8">
        <v>4</v>
      </c>
      <c r="O28" s="8">
        <v>16</v>
      </c>
      <c r="P28" s="9">
        <v>700000</v>
      </c>
      <c r="Q28" s="10">
        <f t="shared" si="5"/>
        <v>65054504</v>
      </c>
      <c r="R28" s="10">
        <f t="shared" si="0"/>
        <v>65754504</v>
      </c>
      <c r="S28" s="10">
        <v>48635373</v>
      </c>
      <c r="T28" s="11">
        <f t="shared" si="6"/>
        <v>0.5</v>
      </c>
      <c r="U28" s="10">
        <f t="shared" si="7"/>
        <v>8559565.5</v>
      </c>
      <c r="V28" s="10">
        <f t="shared" si="8"/>
        <v>57194938.5</v>
      </c>
      <c r="W28" s="10">
        <f t="shared" si="4"/>
        <v>8559565.5</v>
      </c>
      <c r="X28" s="10">
        <v>1</v>
      </c>
      <c r="Y28" s="2" t="s">
        <v>36</v>
      </c>
      <c r="Z28" s="8">
        <v>50</v>
      </c>
      <c r="AA28" s="8">
        <v>2</v>
      </c>
      <c r="AB28" s="2" t="s">
        <v>37</v>
      </c>
    </row>
    <row r="29" s="2" customFormat="1" spans="1:30">
      <c r="A29" s="2" t="s">
        <v>211</v>
      </c>
      <c r="C29" s="2" t="s">
        <v>212</v>
      </c>
      <c r="D29" s="2" t="s">
        <v>213</v>
      </c>
      <c r="E29" s="2" t="s">
        <v>30</v>
      </c>
      <c r="F29" s="2" t="s">
        <v>214</v>
      </c>
      <c r="G29" s="7" t="s">
        <v>194</v>
      </c>
      <c r="I29" s="2" t="s">
        <v>215</v>
      </c>
      <c r="J29" s="2" t="s">
        <v>216</v>
      </c>
      <c r="L29" s="2" t="s">
        <v>217</v>
      </c>
      <c r="M29" s="8">
        <v>2024</v>
      </c>
      <c r="N29" s="8">
        <v>4</v>
      </c>
      <c r="O29" s="8">
        <v>16</v>
      </c>
      <c r="P29" s="9">
        <v>700000</v>
      </c>
      <c r="Q29" s="10">
        <f t="shared" si="5"/>
        <v>65754504</v>
      </c>
      <c r="R29" s="10">
        <f t="shared" si="0"/>
        <v>66454504</v>
      </c>
      <c r="S29" s="10">
        <v>48635373</v>
      </c>
      <c r="T29" s="11">
        <f t="shared" si="6"/>
        <v>0.5</v>
      </c>
      <c r="U29" s="10">
        <f t="shared" si="7"/>
        <v>8909565.5</v>
      </c>
      <c r="V29" s="10">
        <f t="shared" si="8"/>
        <v>57544938.5</v>
      </c>
      <c r="W29" s="10">
        <f t="shared" si="4"/>
        <v>8909565.5</v>
      </c>
      <c r="X29" s="10">
        <v>1</v>
      </c>
      <c r="Y29" s="2" t="s">
        <v>36</v>
      </c>
      <c r="Z29" s="8">
        <v>50</v>
      </c>
      <c r="AA29" s="8">
        <v>2</v>
      </c>
      <c r="AB29" s="2" t="s">
        <v>37</v>
      </c>
    </row>
    <row r="30" s="2" customFormat="1" spans="1:30">
      <c r="A30" s="2" t="s">
        <v>218</v>
      </c>
      <c r="C30" s="2" t="s">
        <v>219</v>
      </c>
      <c r="D30" s="2" t="s">
        <v>220</v>
      </c>
      <c r="E30" s="2" t="s">
        <v>30</v>
      </c>
      <c r="F30" s="2" t="s">
        <v>221</v>
      </c>
      <c r="G30" s="7" t="s">
        <v>194</v>
      </c>
      <c r="I30" s="2" t="s">
        <v>222</v>
      </c>
      <c r="J30" s="2" t="s">
        <v>223</v>
      </c>
      <c r="L30" s="2" t="s">
        <v>224</v>
      </c>
      <c r="M30" s="8">
        <v>2024</v>
      </c>
      <c r="N30" s="8">
        <v>4</v>
      </c>
      <c r="O30" s="8">
        <v>16</v>
      </c>
      <c r="P30" s="9">
        <v>700000</v>
      </c>
      <c r="Q30" s="10">
        <f t="shared" si="5"/>
        <v>66454504</v>
      </c>
      <c r="R30" s="10">
        <f t="shared" si="0"/>
        <v>67154504</v>
      </c>
      <c r="S30" s="10">
        <v>48635373</v>
      </c>
      <c r="T30" s="11">
        <f t="shared" si="6"/>
        <v>0.5</v>
      </c>
      <c r="U30" s="10">
        <f t="shared" si="7"/>
        <v>9259565.5</v>
      </c>
      <c r="V30" s="10">
        <f t="shared" si="8"/>
        <v>57894938.5</v>
      </c>
      <c r="W30" s="10">
        <f t="shared" si="4"/>
        <v>9259565.5</v>
      </c>
      <c r="X30" s="10">
        <v>1</v>
      </c>
      <c r="Y30" s="2" t="s">
        <v>36</v>
      </c>
      <c r="Z30" s="8">
        <v>50</v>
      </c>
      <c r="AA30" s="8">
        <v>2</v>
      </c>
      <c r="AB30" s="2" t="s">
        <v>37</v>
      </c>
      <c r="AD30" s="2" t="s">
        <v>225</v>
      </c>
    </row>
    <row r="31" s="2" customFormat="1" spans="1:30">
      <c r="A31" s="2" t="s">
        <v>226</v>
      </c>
      <c r="C31" s="2" t="s">
        <v>227</v>
      </c>
      <c r="D31" s="2" t="s">
        <v>228</v>
      </c>
      <c r="E31" s="2" t="s">
        <v>30</v>
      </c>
      <c r="F31" s="2" t="s">
        <v>229</v>
      </c>
      <c r="G31" s="7" t="s">
        <v>194</v>
      </c>
      <c r="I31" s="2" t="s">
        <v>230</v>
      </c>
      <c r="J31" s="2" t="s">
        <v>231</v>
      </c>
      <c r="L31" s="2" t="s">
        <v>232</v>
      </c>
      <c r="M31" s="8">
        <v>2024</v>
      </c>
      <c r="N31" s="8">
        <v>4</v>
      </c>
      <c r="O31" s="8">
        <v>16</v>
      </c>
      <c r="P31" s="9">
        <v>120000</v>
      </c>
      <c r="Q31" s="10">
        <f t="shared" si="5"/>
        <v>67154504</v>
      </c>
      <c r="R31" s="10">
        <f t="shared" si="0"/>
        <v>67274504</v>
      </c>
      <c r="S31" s="10">
        <v>48635373</v>
      </c>
      <c r="T31" s="11">
        <f t="shared" si="6"/>
        <v>0.5</v>
      </c>
      <c r="U31" s="10">
        <f t="shared" si="7"/>
        <v>9319565.5</v>
      </c>
      <c r="V31" s="10">
        <f t="shared" si="8"/>
        <v>57954938.5</v>
      </c>
      <c r="W31" s="10">
        <f t="shared" si="4"/>
        <v>9319565.5</v>
      </c>
      <c r="X31" s="10">
        <v>1</v>
      </c>
      <c r="Y31" s="2" t="s">
        <v>36</v>
      </c>
      <c r="Z31" s="8">
        <v>50</v>
      </c>
      <c r="AA31" s="8">
        <v>2</v>
      </c>
      <c r="AB31" s="2" t="s">
        <v>37</v>
      </c>
    </row>
    <row r="32" s="2" customFormat="1" spans="1:30">
      <c r="A32" s="2" t="s">
        <v>67</v>
      </c>
      <c r="C32" s="7" t="s">
        <v>233</v>
      </c>
      <c r="D32" s="2" t="s">
        <v>234</v>
      </c>
      <c r="E32" s="2" t="s">
        <v>30</v>
      </c>
      <c r="F32" s="7" t="s">
        <v>235</v>
      </c>
      <c r="G32" s="7" t="s">
        <v>236</v>
      </c>
      <c r="I32" s="7" t="s">
        <v>237</v>
      </c>
      <c r="J32" s="2" t="s">
        <v>238</v>
      </c>
      <c r="L32" s="2" t="s">
        <v>239</v>
      </c>
      <c r="M32" s="8">
        <v>2024</v>
      </c>
      <c r="N32" s="8">
        <v>13</v>
      </c>
      <c r="O32" s="8">
        <v>3</v>
      </c>
      <c r="P32" s="9">
        <v>125000</v>
      </c>
      <c r="Q32" s="10">
        <f t="shared" si="5"/>
        <v>67274504</v>
      </c>
      <c r="R32" s="10">
        <f t="shared" si="0"/>
        <v>67399504</v>
      </c>
      <c r="S32" s="10">
        <v>48635373</v>
      </c>
      <c r="T32" s="11">
        <f t="shared" si="6"/>
        <v>0.5</v>
      </c>
      <c r="U32" s="10">
        <f t="shared" si="7"/>
        <v>9382065.5</v>
      </c>
      <c r="V32" s="10">
        <f t="shared" si="8"/>
        <v>58017438.5</v>
      </c>
      <c r="W32" s="10">
        <f t="shared" si="4"/>
        <v>9382065.5</v>
      </c>
      <c r="X32" s="10">
        <v>1</v>
      </c>
      <c r="Y32" s="2" t="s">
        <v>36</v>
      </c>
      <c r="Z32" s="8">
        <v>50</v>
      </c>
      <c r="AA32" s="8">
        <v>2</v>
      </c>
      <c r="AB32" s="2" t="s">
        <v>37</v>
      </c>
    </row>
    <row r="33" s="2" customFormat="1" spans="1:30">
      <c r="A33" s="2" t="s">
        <v>240</v>
      </c>
      <c r="C33" s="2" t="s">
        <v>241</v>
      </c>
      <c r="D33" s="2" t="s">
        <v>242</v>
      </c>
      <c r="E33" s="2" t="s">
        <v>30</v>
      </c>
      <c r="F33" s="2" t="s">
        <v>243</v>
      </c>
      <c r="G33" s="7" t="s">
        <v>244</v>
      </c>
      <c r="I33" s="2" t="s">
        <v>245</v>
      </c>
      <c r="J33" s="2" t="s">
        <v>246</v>
      </c>
      <c r="L33" s="2" t="s">
        <v>247</v>
      </c>
      <c r="M33" s="8">
        <v>2024</v>
      </c>
      <c r="N33" s="8">
        <v>9</v>
      </c>
      <c r="O33" s="8">
        <v>23</v>
      </c>
      <c r="P33" s="9">
        <v>631000</v>
      </c>
      <c r="Q33" s="10">
        <f t="shared" si="5"/>
        <v>67399504</v>
      </c>
      <c r="R33" s="10">
        <f t="shared" si="0"/>
        <v>68030504</v>
      </c>
      <c r="S33" s="10">
        <v>48635373</v>
      </c>
      <c r="T33" s="11">
        <f t="shared" si="6"/>
        <v>0.5</v>
      </c>
      <c r="U33" s="10">
        <f t="shared" si="7"/>
        <v>9697565.5</v>
      </c>
      <c r="V33" s="10">
        <f t="shared" si="8"/>
        <v>58332938.5</v>
      </c>
      <c r="W33" s="10">
        <f t="shared" si="4"/>
        <v>9697565.5</v>
      </c>
      <c r="X33" s="10">
        <v>1</v>
      </c>
      <c r="Y33" s="2" t="s">
        <v>36</v>
      </c>
      <c r="Z33" s="8">
        <v>50</v>
      </c>
      <c r="AA33" s="8">
        <v>2</v>
      </c>
      <c r="AB33" s="2" t="s">
        <v>37</v>
      </c>
      <c r="AD33" s="2" t="s">
        <v>248</v>
      </c>
    </row>
    <row r="34" s="2" customFormat="1" spans="1:30">
      <c r="A34" s="2" t="s">
        <v>249</v>
      </c>
      <c r="C34" s="2" t="s">
        <v>250</v>
      </c>
      <c r="D34" s="2" t="s">
        <v>251</v>
      </c>
      <c r="E34" s="2" t="s">
        <v>30</v>
      </c>
      <c r="F34" s="2" t="s">
        <v>252</v>
      </c>
      <c r="G34" s="7" t="s">
        <v>244</v>
      </c>
      <c r="I34" s="2" t="s">
        <v>253</v>
      </c>
      <c r="J34" s="2" t="s">
        <v>254</v>
      </c>
      <c r="L34" s="2" t="s">
        <v>255</v>
      </c>
      <c r="M34" s="8">
        <v>2024</v>
      </c>
      <c r="N34" s="8">
        <v>9</v>
      </c>
      <c r="O34" s="8">
        <v>23</v>
      </c>
      <c r="P34" s="9">
        <v>631000</v>
      </c>
      <c r="Q34" s="10">
        <f t="shared" si="5"/>
        <v>68030504</v>
      </c>
      <c r="R34" s="10">
        <f t="shared" si="0"/>
        <v>68661504</v>
      </c>
      <c r="S34" s="10">
        <v>48635373</v>
      </c>
      <c r="T34" s="11">
        <f t="shared" si="6"/>
        <v>0.5</v>
      </c>
      <c r="U34" s="10">
        <f t="shared" si="7"/>
        <v>10013065.5</v>
      </c>
      <c r="V34" s="10">
        <f t="shared" si="8"/>
        <v>58648438.5</v>
      </c>
      <c r="W34" s="10">
        <f t="shared" si="4"/>
        <v>10013065.5</v>
      </c>
      <c r="X34" s="10">
        <v>1</v>
      </c>
      <c r="Y34" s="2" t="s">
        <v>36</v>
      </c>
      <c r="Z34" s="8">
        <v>50</v>
      </c>
      <c r="AA34" s="8">
        <v>2</v>
      </c>
      <c r="AB34" s="2" t="s">
        <v>37</v>
      </c>
    </row>
    <row r="35" s="2" customFormat="1" spans="1:30">
      <c r="A35" s="2" t="s">
        <v>256</v>
      </c>
      <c r="C35" s="2" t="s">
        <v>257</v>
      </c>
      <c r="D35" s="2" t="s">
        <v>258</v>
      </c>
      <c r="E35" s="2" t="s">
        <v>30</v>
      </c>
      <c r="F35" s="2" t="s">
        <v>259</v>
      </c>
      <c r="G35" s="7" t="s">
        <v>32</v>
      </c>
      <c r="I35" s="2" t="s">
        <v>260</v>
      </c>
      <c r="J35" s="2" t="s">
        <v>261</v>
      </c>
      <c r="L35" s="2" t="s">
        <v>262</v>
      </c>
      <c r="M35" s="8">
        <v>2024</v>
      </c>
      <c r="N35" s="8">
        <v>10</v>
      </c>
      <c r="O35" s="8">
        <v>8</v>
      </c>
      <c r="P35" s="9">
        <v>660000</v>
      </c>
      <c r="Q35" s="10">
        <f t="shared" si="5"/>
        <v>68661504</v>
      </c>
      <c r="R35" s="10">
        <f t="shared" si="0"/>
        <v>69321504</v>
      </c>
      <c r="S35" s="10">
        <v>48635373</v>
      </c>
      <c r="T35" s="11">
        <f t="shared" si="6"/>
        <v>0.5</v>
      </c>
      <c r="U35" s="10">
        <f t="shared" si="7"/>
        <v>10343065.5</v>
      </c>
      <c r="V35" s="10">
        <f t="shared" si="8"/>
        <v>58978438.5</v>
      </c>
      <c r="W35" s="10">
        <f t="shared" si="4"/>
        <v>10343065.5</v>
      </c>
      <c r="X35" s="10">
        <v>1</v>
      </c>
      <c r="Y35" s="2" t="s">
        <v>36</v>
      </c>
      <c r="Z35" s="8">
        <v>50</v>
      </c>
      <c r="AA35" s="8">
        <v>2</v>
      </c>
      <c r="AB35" s="2" t="s">
        <v>37</v>
      </c>
    </row>
    <row r="36" s="2" customFormat="1" spans="1:30">
      <c r="A36" s="2" t="s">
        <v>263</v>
      </c>
      <c r="C36" s="2" t="s">
        <v>264</v>
      </c>
      <c r="D36" s="2" t="s">
        <v>265</v>
      </c>
      <c r="E36" s="2" t="s">
        <v>30</v>
      </c>
      <c r="F36" s="2" t="s">
        <v>266</v>
      </c>
      <c r="G36" s="7" t="s">
        <v>267</v>
      </c>
      <c r="I36" s="2" t="s">
        <v>268</v>
      </c>
      <c r="J36" s="2" t="s">
        <v>269</v>
      </c>
      <c r="L36" s="2" t="s">
        <v>270</v>
      </c>
      <c r="M36" s="8">
        <v>2024</v>
      </c>
      <c r="N36" s="8">
        <v>10</v>
      </c>
      <c r="O36" s="8">
        <v>8</v>
      </c>
      <c r="P36" s="9">
        <v>430000</v>
      </c>
      <c r="Q36" s="10">
        <f t="shared" si="5"/>
        <v>69321504</v>
      </c>
      <c r="R36" s="10">
        <f t="shared" si="0"/>
        <v>69751504</v>
      </c>
      <c r="S36" s="10">
        <v>48635373</v>
      </c>
      <c r="T36" s="11">
        <f t="shared" si="6"/>
        <v>0.5</v>
      </c>
      <c r="U36" s="10">
        <f t="shared" si="7"/>
        <v>10558065.5</v>
      </c>
      <c r="V36" s="10">
        <f t="shared" si="8"/>
        <v>59193438.5</v>
      </c>
      <c r="W36" s="10">
        <f t="shared" si="4"/>
        <v>10558065.5</v>
      </c>
      <c r="X36" s="10">
        <v>1</v>
      </c>
      <c r="Y36" s="2" t="s">
        <v>36</v>
      </c>
      <c r="Z36" s="8">
        <v>50</v>
      </c>
      <c r="AA36" s="8">
        <v>2</v>
      </c>
      <c r="AB36" s="2" t="s">
        <v>37</v>
      </c>
    </row>
    <row r="37" s="2" customFormat="1" spans="1:30">
      <c r="A37" s="2" t="s">
        <v>271</v>
      </c>
      <c r="C37" s="2" t="s">
        <v>272</v>
      </c>
      <c r="D37" s="2" t="s">
        <v>273</v>
      </c>
      <c r="E37" s="2" t="s">
        <v>274</v>
      </c>
      <c r="F37" s="2" t="s">
        <v>275</v>
      </c>
      <c r="G37" s="2" t="s">
        <v>276</v>
      </c>
      <c r="I37" s="2" t="s">
        <v>277</v>
      </c>
      <c r="J37" s="2" t="s">
        <v>278</v>
      </c>
      <c r="K37" s="2" t="s">
        <v>279</v>
      </c>
      <c r="L37" s="2" t="s">
        <v>280</v>
      </c>
      <c r="M37" s="8">
        <v>2025</v>
      </c>
      <c r="N37" s="8">
        <v>7</v>
      </c>
      <c r="O37" s="8">
        <v>9</v>
      </c>
      <c r="P37" s="10">
        <v>1500000</v>
      </c>
      <c r="Q37" s="10">
        <f t="shared" si="5"/>
        <v>69751504</v>
      </c>
      <c r="R37" s="10">
        <f t="shared" si="0"/>
        <v>71251504</v>
      </c>
      <c r="S37" s="10">
        <v>58843438.5</v>
      </c>
      <c r="T37" s="11">
        <f t="shared" si="6"/>
        <v>0.5</v>
      </c>
      <c r="U37" s="10">
        <f t="shared" si="7"/>
        <v>6204032.75</v>
      </c>
      <c r="V37" s="10">
        <f t="shared" si="8"/>
        <v>65047471.25</v>
      </c>
      <c r="W37" s="10">
        <f t="shared" si="4"/>
        <v>6204032.75</v>
      </c>
      <c r="X37" s="10">
        <v>1</v>
      </c>
      <c r="Y37" s="2" t="s">
        <v>36</v>
      </c>
      <c r="Z37" s="8">
        <v>50</v>
      </c>
      <c r="AA37" s="8">
        <v>2</v>
      </c>
      <c r="AB37" s="2" t="s">
        <v>37</v>
      </c>
    </row>
    <row r="38" s="2" customFormat="1" spans="1:30">
      <c r="A38" s="2" t="s">
        <v>281</v>
      </c>
      <c r="C38" s="2" t="s">
        <v>282</v>
      </c>
      <c r="D38" s="2" t="s">
        <v>283</v>
      </c>
      <c r="E38" s="2" t="s">
        <v>274</v>
      </c>
      <c r="F38" s="2" t="s">
        <v>284</v>
      </c>
      <c r="G38" s="2" t="s">
        <v>285</v>
      </c>
      <c r="I38" s="2" t="s">
        <v>286</v>
      </c>
      <c r="J38" s="2" t="s">
        <v>287</v>
      </c>
      <c r="K38" s="2" t="s">
        <v>279</v>
      </c>
      <c r="L38" s="2" t="s">
        <v>288</v>
      </c>
      <c r="M38" s="8">
        <v>2025</v>
      </c>
      <c r="N38" s="8">
        <v>9</v>
      </c>
      <c r="O38" s="8">
        <v>3</v>
      </c>
      <c r="P38" s="10">
        <v>420000</v>
      </c>
      <c r="Q38" s="10">
        <f t="shared" si="5"/>
        <v>71251504</v>
      </c>
      <c r="R38" s="10">
        <f t="shared" si="0"/>
        <v>71671504</v>
      </c>
      <c r="S38" s="10">
        <v>58843438.5</v>
      </c>
      <c r="T38" s="11">
        <f t="shared" si="6"/>
        <v>0.5</v>
      </c>
      <c r="U38" s="10">
        <f t="shared" si="7"/>
        <v>6414032.75</v>
      </c>
      <c r="V38" s="10">
        <f t="shared" si="8"/>
        <v>65257471.25</v>
      </c>
      <c r="W38" s="10">
        <f t="shared" si="4"/>
        <v>6414032.75</v>
      </c>
      <c r="X38" s="10">
        <v>1</v>
      </c>
      <c r="Y38" s="2" t="s">
        <v>36</v>
      </c>
      <c r="Z38" s="8">
        <v>50</v>
      </c>
      <c r="AA38" s="8">
        <v>2</v>
      </c>
      <c r="AB38" s="2" t="s">
        <v>37</v>
      </c>
    </row>
    <row r="39" s="2" customFormat="1" spans="1:30">
      <c r="A39" s="2" t="s">
        <v>289</v>
      </c>
      <c r="C39" s="2" t="s">
        <v>290</v>
      </c>
      <c r="D39" s="2" t="s">
        <v>283</v>
      </c>
      <c r="E39" s="2" t="s">
        <v>274</v>
      </c>
      <c r="F39" s="2" t="s">
        <v>284</v>
      </c>
      <c r="G39" s="2" t="s">
        <v>285</v>
      </c>
      <c r="I39" s="2" t="s">
        <v>291</v>
      </c>
      <c r="J39" s="2" t="s">
        <v>292</v>
      </c>
      <c r="K39" s="2" t="s">
        <v>279</v>
      </c>
      <c r="L39" s="2" t="s">
        <v>293</v>
      </c>
      <c r="M39" s="8">
        <v>2025</v>
      </c>
      <c r="N39" s="8">
        <v>9</v>
      </c>
      <c r="O39" s="8">
        <v>3</v>
      </c>
      <c r="P39" s="10">
        <v>420000</v>
      </c>
      <c r="Q39" s="10">
        <f t="shared" si="5"/>
        <v>71671504</v>
      </c>
      <c r="R39" s="10">
        <f t="shared" si="0"/>
        <v>72091504</v>
      </c>
      <c r="S39" s="10">
        <v>58843438.5</v>
      </c>
      <c r="T39" s="11">
        <f t="shared" si="6"/>
        <v>0.5</v>
      </c>
      <c r="U39" s="10">
        <f t="shared" si="7"/>
        <v>6624032.75</v>
      </c>
      <c r="V39" s="10">
        <f t="shared" si="8"/>
        <v>65467471.25</v>
      </c>
      <c r="W39" s="10">
        <f t="shared" si="4"/>
        <v>6624032.75</v>
      </c>
      <c r="X39" s="10">
        <v>1</v>
      </c>
      <c r="Y39" s="2" t="s">
        <v>36</v>
      </c>
      <c r="Z39" s="8">
        <v>50</v>
      </c>
      <c r="AA39" s="8">
        <v>2</v>
      </c>
      <c r="AB39" s="2" t="s">
        <v>37</v>
      </c>
    </row>
    <row r="40" s="2" customFormat="1" spans="1:30">
      <c r="A40" s="2" t="s">
        <v>294</v>
      </c>
      <c r="C40" s="2" t="s">
        <v>295</v>
      </c>
      <c r="D40" s="2" t="s">
        <v>296</v>
      </c>
      <c r="E40" s="2" t="s">
        <v>274</v>
      </c>
      <c r="F40" s="2" t="s">
        <v>297</v>
      </c>
      <c r="G40" s="2" t="s">
        <v>298</v>
      </c>
      <c r="I40" s="2" t="s">
        <v>299</v>
      </c>
      <c r="J40" s="2" t="s">
        <v>300</v>
      </c>
      <c r="K40" s="2" t="s">
        <v>279</v>
      </c>
      <c r="L40" s="2" t="s">
        <v>301</v>
      </c>
      <c r="M40" s="8">
        <v>2025</v>
      </c>
      <c r="N40" s="8">
        <v>1</v>
      </c>
      <c r="O40" s="8">
        <v>5</v>
      </c>
      <c r="P40" s="10">
        <v>615000</v>
      </c>
      <c r="Q40" s="10">
        <f t="shared" si="5"/>
        <v>72091504</v>
      </c>
      <c r="R40" s="10">
        <f t="shared" si="0"/>
        <v>72706504</v>
      </c>
      <c r="S40" s="10">
        <v>58843438.5</v>
      </c>
      <c r="T40" s="11">
        <f t="shared" si="6"/>
        <v>0.5</v>
      </c>
      <c r="U40" s="10">
        <f t="shared" si="7"/>
        <v>6931532.75</v>
      </c>
      <c r="V40" s="10">
        <f t="shared" si="8"/>
        <v>65774971.25</v>
      </c>
      <c r="W40" s="10">
        <f t="shared" si="4"/>
        <v>6931532.75</v>
      </c>
      <c r="X40" s="10">
        <v>1</v>
      </c>
      <c r="Y40" s="2" t="s">
        <v>36</v>
      </c>
      <c r="Z40" s="8">
        <v>50</v>
      </c>
      <c r="AA40" s="8">
        <v>2</v>
      </c>
      <c r="AB40" s="2" t="s">
        <v>37</v>
      </c>
    </row>
    <row r="41" s="2" customFormat="1" spans="1:30">
      <c r="A41" s="2" t="s">
        <v>294</v>
      </c>
      <c r="C41" s="2" t="s">
        <v>302</v>
      </c>
      <c r="D41" s="2" t="s">
        <v>296</v>
      </c>
      <c r="E41" s="2" t="s">
        <v>274</v>
      </c>
      <c r="F41" s="2" t="s">
        <v>297</v>
      </c>
      <c r="G41" s="2" t="s">
        <v>298</v>
      </c>
      <c r="I41" s="2" t="s">
        <v>303</v>
      </c>
      <c r="J41" s="2" t="s">
        <v>304</v>
      </c>
      <c r="K41" s="2" t="s">
        <v>279</v>
      </c>
      <c r="L41" s="2" t="s">
        <v>305</v>
      </c>
      <c r="M41" s="8">
        <v>2025</v>
      </c>
      <c r="N41" s="8">
        <v>1</v>
      </c>
      <c r="O41" s="8">
        <v>5</v>
      </c>
      <c r="P41" s="10">
        <v>615000</v>
      </c>
      <c r="Q41" s="10">
        <f t="shared" si="5"/>
        <v>72706504</v>
      </c>
      <c r="R41" s="10">
        <f t="shared" si="0"/>
        <v>73321504</v>
      </c>
      <c r="S41" s="10">
        <v>58843438.5</v>
      </c>
      <c r="T41" s="11">
        <f t="shared" si="6"/>
        <v>0.5</v>
      </c>
      <c r="U41" s="10">
        <f t="shared" si="7"/>
        <v>7239032.75</v>
      </c>
      <c r="V41" s="10">
        <f t="shared" si="8"/>
        <v>66082471.25</v>
      </c>
      <c r="W41" s="10">
        <f t="shared" si="4"/>
        <v>7239032.75</v>
      </c>
      <c r="X41" s="10">
        <v>1</v>
      </c>
      <c r="Y41" s="2" t="s">
        <v>36</v>
      </c>
      <c r="Z41" s="8">
        <v>50</v>
      </c>
      <c r="AA41" s="8">
        <v>2</v>
      </c>
      <c r="AB41" s="2" t="s">
        <v>37</v>
      </c>
    </row>
    <row r="42" s="2" customFormat="1" spans="1:30">
      <c r="A42" s="2" t="s">
        <v>294</v>
      </c>
      <c r="C42" s="2" t="s">
        <v>306</v>
      </c>
      <c r="D42" s="2" t="s">
        <v>296</v>
      </c>
      <c r="E42" s="2" t="s">
        <v>274</v>
      </c>
      <c r="F42" s="2" t="s">
        <v>297</v>
      </c>
      <c r="G42" s="2" t="s">
        <v>298</v>
      </c>
      <c r="I42" s="2" t="s">
        <v>307</v>
      </c>
      <c r="J42" s="2" t="s">
        <v>308</v>
      </c>
      <c r="K42" s="2" t="s">
        <v>279</v>
      </c>
      <c r="L42" s="2" t="s">
        <v>309</v>
      </c>
      <c r="M42" s="8">
        <v>2025</v>
      </c>
      <c r="N42" s="8">
        <v>1</v>
      </c>
      <c r="O42" s="8">
        <v>5</v>
      </c>
      <c r="P42" s="10">
        <v>615000</v>
      </c>
      <c r="Q42" s="10">
        <f t="shared" si="5"/>
        <v>73321504</v>
      </c>
      <c r="R42" s="10">
        <f t="shared" si="0"/>
        <v>73936504</v>
      </c>
      <c r="S42" s="10">
        <v>58843438.5</v>
      </c>
      <c r="T42" s="11">
        <f t="shared" si="6"/>
        <v>0.5</v>
      </c>
      <c r="U42" s="10">
        <f t="shared" si="7"/>
        <v>7546532.75</v>
      </c>
      <c r="V42" s="10">
        <f t="shared" si="8"/>
        <v>66389971.25</v>
      </c>
      <c r="W42" s="10">
        <f t="shared" si="4"/>
        <v>7546532.75</v>
      </c>
      <c r="X42" s="10">
        <v>1</v>
      </c>
      <c r="Y42" s="2" t="s">
        <v>36</v>
      </c>
      <c r="Z42" s="8">
        <v>50</v>
      </c>
      <c r="AA42" s="8">
        <v>2</v>
      </c>
      <c r="AB42" s="2" t="s">
        <v>37</v>
      </c>
    </row>
    <row r="43" s="2" customFormat="1" spans="1:30">
      <c r="A43" s="2" t="s">
        <v>310</v>
      </c>
      <c r="C43" s="2" t="s">
        <v>311</v>
      </c>
      <c r="D43" s="2" t="s">
        <v>312</v>
      </c>
      <c r="E43" s="2" t="s">
        <v>274</v>
      </c>
      <c r="F43" s="2" t="s">
        <v>313</v>
      </c>
      <c r="G43" s="2" t="s">
        <v>314</v>
      </c>
      <c r="I43" s="2" t="s">
        <v>315</v>
      </c>
      <c r="J43" s="2" t="s">
        <v>316</v>
      </c>
      <c r="K43" s="2" t="s">
        <v>279</v>
      </c>
      <c r="L43" s="2" t="s">
        <v>317</v>
      </c>
      <c r="M43" s="8">
        <v>2025</v>
      </c>
      <c r="N43" s="8">
        <v>11</v>
      </c>
      <c r="O43" s="8">
        <v>17</v>
      </c>
      <c r="P43" s="10">
        <v>500000</v>
      </c>
      <c r="Q43" s="10">
        <f t="shared" si="5"/>
        <v>73936504</v>
      </c>
      <c r="R43" s="10">
        <f t="shared" si="0"/>
        <v>74436504</v>
      </c>
      <c r="S43" s="10">
        <v>58843438.5</v>
      </c>
      <c r="T43" s="11">
        <f t="shared" si="6"/>
        <v>0.5</v>
      </c>
      <c r="U43" s="10">
        <f t="shared" si="7"/>
        <v>7796532.75</v>
      </c>
      <c r="V43" s="10">
        <f t="shared" si="8"/>
        <v>66639971.25</v>
      </c>
      <c r="W43" s="10">
        <f t="shared" si="4"/>
        <v>7796532.75</v>
      </c>
      <c r="X43" s="10">
        <v>1</v>
      </c>
      <c r="Y43" s="2" t="s">
        <v>36</v>
      </c>
      <c r="Z43" s="8">
        <v>50</v>
      </c>
      <c r="AA43" s="8">
        <v>2</v>
      </c>
      <c r="AB43" s="2" t="s">
        <v>37</v>
      </c>
    </row>
    <row r="44" s="2" customFormat="1" spans="1:30">
      <c r="A44" s="2" t="s">
        <v>318</v>
      </c>
      <c r="C44" s="2" t="s">
        <v>319</v>
      </c>
      <c r="D44" s="2" t="s">
        <v>312</v>
      </c>
      <c r="E44" s="2" t="s">
        <v>274</v>
      </c>
      <c r="F44" s="2" t="s">
        <v>313</v>
      </c>
      <c r="G44" s="2" t="s">
        <v>314</v>
      </c>
      <c r="I44" s="2" t="s">
        <v>320</v>
      </c>
      <c r="J44" s="2" t="s">
        <v>321</v>
      </c>
      <c r="K44" s="2" t="s">
        <v>279</v>
      </c>
      <c r="L44" s="2" t="s">
        <v>322</v>
      </c>
      <c r="M44" s="8">
        <v>2025</v>
      </c>
      <c r="N44" s="8">
        <v>11</v>
      </c>
      <c r="O44" s="8">
        <v>17</v>
      </c>
      <c r="P44" s="10">
        <v>500000</v>
      </c>
      <c r="Q44" s="10">
        <f t="shared" si="5"/>
        <v>74436504</v>
      </c>
      <c r="R44" s="10">
        <f t="shared" si="0"/>
        <v>74936504</v>
      </c>
      <c r="S44" s="10">
        <v>58843438.5</v>
      </c>
      <c r="T44" s="11">
        <f t="shared" si="6"/>
        <v>0.5</v>
      </c>
      <c r="U44" s="10">
        <f t="shared" si="7"/>
        <v>8046532.75</v>
      </c>
      <c r="V44" s="10">
        <f t="shared" si="8"/>
        <v>66889971.25</v>
      </c>
      <c r="W44" s="10">
        <f t="shared" si="4"/>
        <v>8046532.75</v>
      </c>
      <c r="X44" s="10">
        <v>1</v>
      </c>
      <c r="Y44" s="2" t="s">
        <v>36</v>
      </c>
      <c r="Z44" s="8">
        <v>50</v>
      </c>
      <c r="AA44" s="8">
        <v>2</v>
      </c>
      <c r="AB44" s="2" t="s">
        <v>37</v>
      </c>
    </row>
    <row r="45" s="2" customFormat="1" spans="1:30">
      <c r="A45" s="2" t="s">
        <v>323</v>
      </c>
      <c r="C45" s="2" t="s">
        <v>324</v>
      </c>
      <c r="D45" s="2" t="s">
        <v>312</v>
      </c>
      <c r="E45" s="2" t="s">
        <v>274</v>
      </c>
      <c r="F45" s="2" t="s">
        <v>313</v>
      </c>
      <c r="G45" s="2" t="s">
        <v>314</v>
      </c>
      <c r="I45" s="2" t="s">
        <v>325</v>
      </c>
      <c r="J45" s="2" t="s">
        <v>326</v>
      </c>
      <c r="K45" s="2" t="s">
        <v>279</v>
      </c>
      <c r="L45" s="2" t="s">
        <v>327</v>
      </c>
      <c r="M45" s="8">
        <v>2025</v>
      </c>
      <c r="N45" s="8">
        <v>11</v>
      </c>
      <c r="O45" s="8">
        <v>17</v>
      </c>
      <c r="P45" s="10">
        <v>500000</v>
      </c>
      <c r="Q45" s="10">
        <f t="shared" si="5"/>
        <v>74936504</v>
      </c>
      <c r="R45" s="10">
        <f t="shared" si="0"/>
        <v>75436504</v>
      </c>
      <c r="S45" s="10">
        <v>58843438.5</v>
      </c>
      <c r="T45" s="11">
        <f t="shared" si="6"/>
        <v>0.5</v>
      </c>
      <c r="U45" s="10">
        <f t="shared" si="7"/>
        <v>8296532.75</v>
      </c>
      <c r="V45" s="10">
        <f t="shared" si="8"/>
        <v>67139971.25</v>
      </c>
      <c r="W45" s="10">
        <f t="shared" si="4"/>
        <v>8296532.75</v>
      </c>
      <c r="X45" s="10">
        <v>1</v>
      </c>
      <c r="Y45" s="2" t="s">
        <v>36</v>
      </c>
      <c r="Z45" s="8">
        <v>50</v>
      </c>
      <c r="AA45" s="8">
        <v>2</v>
      </c>
      <c r="AB45" s="2" t="s">
        <v>37</v>
      </c>
    </row>
    <row r="46" s="2" customFormat="1" spans="1:30">
      <c r="A46" s="2" t="s">
        <v>271</v>
      </c>
      <c r="C46" s="2" t="s">
        <v>328</v>
      </c>
      <c r="D46" s="2" t="s">
        <v>312</v>
      </c>
      <c r="E46" s="2" t="s">
        <v>274</v>
      </c>
      <c r="F46" s="2" t="s">
        <v>313</v>
      </c>
      <c r="G46" s="2" t="s">
        <v>329</v>
      </c>
      <c r="I46" s="2" t="s">
        <v>330</v>
      </c>
      <c r="J46" s="2" t="s">
        <v>331</v>
      </c>
      <c r="K46" s="2" t="s">
        <v>279</v>
      </c>
      <c r="L46" s="2" t="s">
        <v>332</v>
      </c>
      <c r="M46" s="8">
        <v>2025</v>
      </c>
      <c r="N46" s="8">
        <v>10</v>
      </c>
      <c r="O46" s="8">
        <v>27</v>
      </c>
      <c r="P46" s="10">
        <v>1300000</v>
      </c>
      <c r="Q46" s="10">
        <f t="shared" si="5"/>
        <v>75436504</v>
      </c>
      <c r="R46" s="10">
        <f t="shared" si="0"/>
        <v>76736504</v>
      </c>
      <c r="S46" s="10">
        <v>58843438.5</v>
      </c>
      <c r="T46" s="11">
        <f t="shared" si="6"/>
        <v>0.5</v>
      </c>
      <c r="U46" s="10">
        <f t="shared" si="7"/>
        <v>8946532.75</v>
      </c>
      <c r="V46" s="10">
        <f t="shared" si="8"/>
        <v>67789971.25</v>
      </c>
      <c r="W46" s="10">
        <f t="shared" si="4"/>
        <v>8946532.75</v>
      </c>
      <c r="X46" s="10">
        <v>1</v>
      </c>
      <c r="Y46" s="2" t="s">
        <v>36</v>
      </c>
      <c r="Z46" s="8">
        <v>50</v>
      </c>
      <c r="AA46" s="8">
        <v>2</v>
      </c>
      <c r="AB46" s="2" t="s">
        <v>37</v>
      </c>
    </row>
    <row r="47" s="2" customFormat="1" spans="1:30">
      <c r="A47" s="2" t="s">
        <v>333</v>
      </c>
      <c r="C47" s="2" t="s">
        <v>334</v>
      </c>
      <c r="D47" s="2" t="s">
        <v>312</v>
      </c>
      <c r="E47" s="2" t="s">
        <v>274</v>
      </c>
      <c r="F47" s="2" t="s">
        <v>335</v>
      </c>
      <c r="G47" s="2" t="s">
        <v>336</v>
      </c>
      <c r="I47" s="2" t="s">
        <v>337</v>
      </c>
      <c r="J47" s="2" t="s">
        <v>338</v>
      </c>
      <c r="K47" s="2" t="s">
        <v>279</v>
      </c>
      <c r="L47" s="2" t="s">
        <v>339</v>
      </c>
      <c r="M47" s="8">
        <v>2025</v>
      </c>
      <c r="N47" s="8">
        <v>5</v>
      </c>
      <c r="O47" s="8">
        <v>2</v>
      </c>
      <c r="P47" s="10">
        <v>750000</v>
      </c>
      <c r="Q47" s="10">
        <f t="shared" si="5"/>
        <v>76736504</v>
      </c>
      <c r="R47" s="10">
        <f t="shared" si="0"/>
        <v>77486504</v>
      </c>
      <c r="S47" s="10">
        <v>58843438.5</v>
      </c>
      <c r="T47" s="11">
        <f t="shared" si="6"/>
        <v>0.5</v>
      </c>
      <c r="U47" s="10">
        <f t="shared" si="7"/>
        <v>9321532.75</v>
      </c>
      <c r="V47" s="10">
        <f t="shared" si="8"/>
        <v>68164971.25</v>
      </c>
      <c r="W47" s="10">
        <f t="shared" si="4"/>
        <v>9321532.75</v>
      </c>
      <c r="X47" s="10">
        <v>1</v>
      </c>
      <c r="Y47" s="2" t="s">
        <v>36</v>
      </c>
      <c r="Z47" s="8">
        <v>50</v>
      </c>
      <c r="AA47" s="8">
        <v>2</v>
      </c>
      <c r="AB47" s="2" t="s">
        <v>37</v>
      </c>
    </row>
    <row r="48" s="2" customFormat="1" spans="1:30">
      <c r="A48" s="2" t="s">
        <v>340</v>
      </c>
      <c r="C48" s="2" t="s">
        <v>341</v>
      </c>
      <c r="D48" s="2" t="s">
        <v>296</v>
      </c>
      <c r="E48" s="2" t="s">
        <v>274</v>
      </c>
      <c r="F48" s="2" t="s">
        <v>297</v>
      </c>
      <c r="G48" s="2" t="s">
        <v>342</v>
      </c>
      <c r="I48" s="2" t="s">
        <v>343</v>
      </c>
      <c r="J48" s="2" t="s">
        <v>344</v>
      </c>
      <c r="K48" s="2" t="s">
        <v>279</v>
      </c>
      <c r="L48" s="2" t="s">
        <v>345</v>
      </c>
      <c r="M48" s="8">
        <v>2025</v>
      </c>
      <c r="N48" s="8">
        <v>6</v>
      </c>
      <c r="O48" s="8">
        <v>4</v>
      </c>
      <c r="P48" s="10">
        <v>590000</v>
      </c>
      <c r="Q48" s="10">
        <f t="shared" si="5"/>
        <v>77486504</v>
      </c>
      <c r="R48" s="10">
        <f t="shared" si="0"/>
        <v>78076504</v>
      </c>
      <c r="S48" s="10">
        <v>58843438.5</v>
      </c>
      <c r="T48" s="11">
        <f t="shared" si="6"/>
        <v>0.5</v>
      </c>
      <c r="U48" s="10">
        <f t="shared" si="7"/>
        <v>9616532.75</v>
      </c>
      <c r="V48" s="10">
        <f t="shared" si="8"/>
        <v>68459971.25</v>
      </c>
      <c r="W48" s="10">
        <f t="shared" si="4"/>
        <v>9616532.75</v>
      </c>
      <c r="X48" s="10">
        <v>1</v>
      </c>
      <c r="Y48" s="2" t="s">
        <v>36</v>
      </c>
      <c r="Z48" s="8">
        <v>50</v>
      </c>
      <c r="AA48" s="8">
        <v>2</v>
      </c>
      <c r="AB48" s="2" t="s">
        <v>37</v>
      </c>
    </row>
    <row r="49" s="2" customFormat="1" spans="1:28">
      <c r="A49" s="2" t="s">
        <v>346</v>
      </c>
      <c r="C49" s="2" t="s">
        <v>347</v>
      </c>
      <c r="D49" s="2" t="s">
        <v>296</v>
      </c>
      <c r="E49" s="2" t="s">
        <v>274</v>
      </c>
      <c r="F49" s="2" t="s">
        <v>297</v>
      </c>
      <c r="G49" s="2" t="s">
        <v>342</v>
      </c>
      <c r="I49" s="2" t="s">
        <v>347</v>
      </c>
      <c r="J49" s="2" t="s">
        <v>348</v>
      </c>
      <c r="K49" s="2" t="s">
        <v>279</v>
      </c>
      <c r="L49" s="2" t="s">
        <v>349</v>
      </c>
      <c r="M49" s="8">
        <v>2025</v>
      </c>
      <c r="N49" s="8">
        <v>6</v>
      </c>
      <c r="O49" s="8">
        <v>4</v>
      </c>
      <c r="P49" s="10">
        <v>590000</v>
      </c>
      <c r="Q49" s="10">
        <f t="shared" si="5"/>
        <v>78076504</v>
      </c>
      <c r="R49" s="10">
        <f t="shared" si="0"/>
        <v>78666504</v>
      </c>
      <c r="S49" s="10">
        <v>58843438.5</v>
      </c>
      <c r="T49" s="11">
        <f t="shared" si="6"/>
        <v>0.5</v>
      </c>
      <c r="U49" s="10">
        <f t="shared" si="7"/>
        <v>9911532.75</v>
      </c>
      <c r="V49" s="10">
        <f t="shared" si="8"/>
        <v>68754971.25</v>
      </c>
      <c r="W49" s="10">
        <f t="shared" si="4"/>
        <v>9911532.75</v>
      </c>
      <c r="X49" s="10">
        <v>1</v>
      </c>
      <c r="Y49" s="2" t="s">
        <v>36</v>
      </c>
      <c r="Z49" s="8">
        <v>50</v>
      </c>
      <c r="AA49" s="8">
        <v>2</v>
      </c>
      <c r="AB49" s="2" t="s">
        <v>37</v>
      </c>
    </row>
    <row r="50" s="2" customFormat="1" spans="1:28">
      <c r="A50" s="2" t="s">
        <v>350</v>
      </c>
      <c r="C50" s="2" t="s">
        <v>351</v>
      </c>
      <c r="D50" s="2" t="s">
        <v>296</v>
      </c>
      <c r="E50" s="2" t="s">
        <v>274</v>
      </c>
      <c r="F50" s="2" t="s">
        <v>297</v>
      </c>
      <c r="G50" s="2" t="s">
        <v>352</v>
      </c>
      <c r="I50" s="2" t="s">
        <v>353</v>
      </c>
      <c r="J50" s="2" t="s">
        <v>202</v>
      </c>
      <c r="K50" s="2" t="s">
        <v>279</v>
      </c>
      <c r="L50" s="2" t="s">
        <v>354</v>
      </c>
      <c r="M50" s="8">
        <v>2025</v>
      </c>
      <c r="N50" s="8">
        <v>10</v>
      </c>
      <c r="O50" s="8">
        <v>3</v>
      </c>
      <c r="P50" s="10">
        <v>564000</v>
      </c>
      <c r="Q50" s="10">
        <f t="shared" si="5"/>
        <v>78666504</v>
      </c>
      <c r="R50" s="10">
        <f t="shared" si="0"/>
        <v>79230504</v>
      </c>
      <c r="S50" s="10">
        <v>58843438.5</v>
      </c>
      <c r="T50" s="11">
        <f t="shared" si="6"/>
        <v>0.5</v>
      </c>
      <c r="U50" s="10">
        <f t="shared" si="7"/>
        <v>10193532.75</v>
      </c>
      <c r="V50" s="10">
        <f t="shared" si="8"/>
        <v>69036971.25</v>
      </c>
      <c r="W50" s="10">
        <f t="shared" si="4"/>
        <v>10193532.75</v>
      </c>
      <c r="X50" s="10">
        <v>1</v>
      </c>
      <c r="Y50" s="2" t="s">
        <v>36</v>
      </c>
      <c r="Z50" s="8">
        <v>50</v>
      </c>
      <c r="AA50" s="8">
        <v>2</v>
      </c>
      <c r="AB50" s="2" t="s">
        <v>37</v>
      </c>
    </row>
    <row r="51" s="2" customFormat="1" spans="1:28">
      <c r="A51" s="2" t="s">
        <v>355</v>
      </c>
      <c r="B51" s="2" t="s">
        <v>356</v>
      </c>
      <c r="C51" s="2" t="s">
        <v>357</v>
      </c>
      <c r="D51" s="2" t="s">
        <v>296</v>
      </c>
      <c r="E51" s="2" t="s">
        <v>274</v>
      </c>
      <c r="F51" s="2" t="s">
        <v>297</v>
      </c>
      <c r="G51" s="2" t="s">
        <v>342</v>
      </c>
      <c r="I51" s="2" t="s">
        <v>358</v>
      </c>
      <c r="J51" s="2" t="s">
        <v>359</v>
      </c>
      <c r="K51" s="2" t="s">
        <v>279</v>
      </c>
      <c r="L51" s="2" t="s">
        <v>360</v>
      </c>
      <c r="M51" s="8">
        <v>2025</v>
      </c>
      <c r="N51" s="8">
        <v>10</v>
      </c>
      <c r="O51" s="8">
        <v>8</v>
      </c>
      <c r="P51" s="10">
        <v>595000</v>
      </c>
      <c r="Q51" s="10">
        <f t="shared" si="5"/>
        <v>79230504</v>
      </c>
      <c r="R51" s="10">
        <f t="shared" si="0"/>
        <v>79825504</v>
      </c>
      <c r="S51" s="10">
        <v>58843438.5</v>
      </c>
      <c r="T51" s="11">
        <f t="shared" si="6"/>
        <v>0.5</v>
      </c>
      <c r="U51" s="10">
        <f t="shared" si="7"/>
        <v>10491032.75</v>
      </c>
      <c r="V51" s="10">
        <f t="shared" si="8"/>
        <v>69334471.25</v>
      </c>
      <c r="W51" s="10">
        <f t="shared" si="4"/>
        <v>10491032.75</v>
      </c>
      <c r="X51" s="10">
        <v>1</v>
      </c>
      <c r="Y51" s="2" t="s">
        <v>36</v>
      </c>
      <c r="Z51" s="8">
        <v>50</v>
      </c>
      <c r="AA51" s="8">
        <v>2</v>
      </c>
      <c r="AB51" s="2" t="s">
        <v>37</v>
      </c>
    </row>
    <row r="52" s="3" customFormat="1" spans="1:28">
      <c r="A52" s="3" t="s">
        <v>361</v>
      </c>
      <c r="C52" s="3" t="s">
        <v>362</v>
      </c>
      <c r="D52" s="3" t="s">
        <v>296</v>
      </c>
      <c r="E52" s="3" t="s">
        <v>274</v>
      </c>
      <c r="F52" s="3" t="s">
        <v>297</v>
      </c>
      <c r="G52" s="3" t="s">
        <v>342</v>
      </c>
      <c r="I52" s="3" t="s">
        <v>363</v>
      </c>
      <c r="J52" s="3" t="s">
        <v>364</v>
      </c>
      <c r="K52" s="3" t="s">
        <v>279</v>
      </c>
      <c r="L52" s="3" t="s">
        <v>365</v>
      </c>
      <c r="M52" s="13">
        <v>2025</v>
      </c>
      <c r="N52" s="13">
        <v>10</v>
      </c>
      <c r="O52" s="13">
        <v>8</v>
      </c>
      <c r="P52" s="15">
        <v>550000</v>
      </c>
      <c r="Q52" s="15">
        <f t="shared" si="5"/>
        <v>79825504</v>
      </c>
      <c r="R52" s="15">
        <f t="shared" si="0"/>
        <v>80375504</v>
      </c>
      <c r="S52" s="15">
        <v>58843438.5</v>
      </c>
      <c r="T52" s="16">
        <f t="shared" si="6"/>
        <v>0.5</v>
      </c>
      <c r="U52" s="15">
        <f t="shared" si="7"/>
        <v>10766032.75</v>
      </c>
      <c r="V52" s="15">
        <f t="shared" si="8"/>
        <v>69609471.25</v>
      </c>
      <c r="W52" s="15">
        <f t="shared" si="4"/>
        <v>10766032.75</v>
      </c>
      <c r="X52" s="15">
        <v>1</v>
      </c>
      <c r="Y52" s="3" t="s">
        <v>36</v>
      </c>
      <c r="Z52" s="13">
        <v>50</v>
      </c>
      <c r="AA52" s="13">
        <v>2</v>
      </c>
      <c r="AB52" s="3" t="s">
        <v>37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ADMIN\WPSDrive\3728688296144\WPSDrive\KPS%20Asset%20Register%202018%20to%202026.xlsx" FileId="123489508660648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2026-09-07T11:21:23Z</dcterms:created>
  <dcterms:modified xsi:type="dcterms:W3CDTF">2026-09-07T11:24:33Z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C276CDC6C2744C2F936B904FF672FC93_11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