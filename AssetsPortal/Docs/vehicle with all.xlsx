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30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<sst xmlns="http://schemas.openxmlformats.org/spreadsheetml/2006/main" count="56" uniqueCount="45">
  <si>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location</t>
  </si>
  <si>
    <t>name</t>
  </si>
  <si>
    <t>label</t>
  </si>
  <si>
    <t>type</t>
  </si>
  <si>
    <t>category</t>
  </si>
  <si>
    <t>supplier</t>
  </si>
  <si>
    <t>tax</t>
  </si>
  <si>
    <t>upi</t>
  </si>
  <si>
    <t>sku</t>
  </si>
  <si>
    <t>size</t>
  </si>
  <si>
    <t>material</t>
  </si>
  <si>
    <t>purchase_year</t>
  </si>
  <si>
    <t>purchase_month</t>
  </si>
  <si>
    <t>purchase_day</t>
  </si>
  <si>
    <t>purchase_unit_price</t>
  </si>
  <si>
    <t>opening amount</t>
  </si>
  <si>
    <t>SALE BALANCE</t>
  </si>
  <si>
    <t>TOTAL BALANCE</t>
  </si>
  <si>
    <t>accumulated DEPRECIATION</t>
  </si>
  <si>
    <t>decimal depr</t>
  </si>
  <si>
    <t>Annual depreciation</t>
  </si>
  <si>
    <t>TOTAL DEPRECIATION</t>
  </si>
  <si>
    <t>NET BOOK VALUE</t>
  </si>
  <si>
    <t>quantity</t>
  </si>
  <si>
    <t>depreciation_mode</t>
  </si>
  <si>
    <t>depreciation_rate</t>
  </si>
  <si>
    <t>number_of_useful_years_depreciation</t>
  </si>
  <si>
    <t>description</t>
  </si>
  <si>
    <t>KIMIRONKO</t>
  </si>
  <si>
    <t>BALANCE</t>
  </si>
  <si>
    <t xml:space="preserve">MOTOR VEHICLE </t>
  </si>
  <si>
    <t>DIMINISHING</t>
  </si>
  <si>
    <t>PICK UP</t>
  </si>
  <si>
    <t>NEW EASTMAN INC LTD</t>
  </si>
  <si>
    <t>JTDKW283200010448</t>
  </si>
  <si>
    <t xml:space="preserve">RAH151W </t>
  </si>
  <si>
    <t>N/A</t>
  </si>
  <si>
    <t>HILUXS/C</t>
  </si>
  <si>
    <t>NIYIRORA VIVENS</t>
  </si>
  <si>
    <t>AHTFR22G406030530</t>
  </si>
  <si>
    <t>RAE392PRAB605W</t>
  </si>
  <si>
    <t>NDABIKUNZE FRANCAIS</t>
  </si>
  <si>
    <t>AHTFDR22G505532993</t>
  </si>
  <si>
    <t>RAI953B</t>
  </si>
  <si>
    <t>2KDA533183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</si>
</sst>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0" borderId="0" xfId="0" applyNumberFormat="1" applyFont="1" applyFill="1" applyAlignment="1">
      <alignment wrapText="1"/>
    </xf>
    <xf numFmtId="0" fontId="0" fillId="0" borderId="0" xfId="0" applyFill="1" applyAlignment="1">
      <alignment vertical="center"/>
    </xf>
    <xf numFmtId="49" fontId="2" fillId="0" borderId="0" xfId="0" applyNumberFormat="1" applyFont="1" applyFill="1" applyAlignment="1">
      <alignment wrapText="1"/>
    </xf>
    <xf numFmtId="176" fontId="2" fillId="0" borderId="0" xfId="1" applyFont="1" applyFill="1" applyAlignment="1">
      <alignment wrapText="1"/>
    </xf>
    <xf numFmtId="178" fontId="0" fillId="0" borderId="0" xfId="1" applyNumberFormat="1">
      <alignment vertical="center"/>
    </xf>
    <xf numFmtId="178" fontId="3" fillId="0" borderId="0" xfId="1" applyNumberFormat="1" applyFont="1" applyFill="1" applyAlignment="1"/>
    <xf numFmtId="176" fontId="0" fillId="0" borderId="0" xfId="1">
      <alignment vertical="center"/>
    </xf>
    <xf numFmtId="49" fontId="1" fillId="0" borderId="0" xfId="0" applyNumberFormat="1" applyFont="1" applyFill="1" applyAlignment="1"/>
    <xf numFmtId="49" fontId="3" fillId="0" borderId="0" xfId="0" applyNumberFormat="1" applyFont="1" applyFill="1" applyAlignment="1"/>
    <xf numFmtId="0" fontId="4" fillId="0" borderId="0" xfId="0" applyFont="1" applyFill="1" applyBorder="1" applyAlignment="1"/>
    <xf numFmtId="0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WPSDrive\3728688296144\WPSDrive\KPS%20Asset%20Register%202018%20to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  WITHOUT LAND"/>
      <sheetName val="FURNITURE"/>
      <sheetName val="EQUIPMENT"/>
      <sheetName val="COMPUTER"/>
      <sheetName val="VEHICLE"/>
      <sheetName val="BUILDING"/>
      <sheetName val="LAND"/>
      <sheetName val="summary"/>
      <sheetName val="new old asset"/>
      <sheetName val="OLD ASSET"/>
      <sheetName val="old asset 1"/>
      <sheetName val="WIP"/>
    </sheetNames>
    <sheetDataSet>
      <sheetData sheetId="0"/>
      <sheetData sheetId="1"/>
      <sheetData sheetId="2"/>
      <sheetData sheetId="3"/>
      <sheetData sheetId="4">
        <row r="10">
          <cell r="P10">
            <v>35854000</v>
          </cell>
        </row>
        <row r="10">
          <cell r="S10">
            <v>14188750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tabSelected="1" topLeftCell="M1" workbookViewId="0">
      <selection activeCell="P1" sqref="P1"/>
    </sheetView>
  </sheetViews>
  <sheetFormatPr defaultColWidth="9.14285714285714" defaultRowHeight="15" outlineLevelRow="4"/>
  <cols>
    <col min="15" max="15" width="11.7142857142857" customWidth="1"/>
    <col min="16" max="16" width="17.4285714285714" customWidth="1"/>
    <col min="17" max="18" width="11.7142857142857" customWidth="1"/>
    <col min="19" max="19" width="24.1428571428571" customWidth="1"/>
    <col min="21" max="21" width="10.5714285714286" customWidth="1"/>
    <col min="22" max="22" width="11.7142857142857" customWidth="1"/>
    <col min="23" max="23" width="12.8571428571429" customWidth="1"/>
  </cols>
  <sheetData>
    <row r="1" s="1" customFormat="1" ht="75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="2" customFormat="1" spans="1:28">
      <c r="A2" s="2" t="s">
        <v>28</v>
      </c>
      <c r="B2" s="2" t="s">
        <v>29</v>
      </c>
      <c r="D2" s="2" t="s">
        <v>30</v>
      </c>
      <c r="L2" s="2">
        <v>2023</v>
      </c>
      <c r="M2" s="2">
        <v>12</v>
      </c>
      <c r="N2" s="2">
        <v>31</v>
      </c>
      <c r="O2" s="5">
        <v>0</v>
      </c>
      <c r="P2" s="5">
        <f>[1]VEHICLE!$P$10</f>
        <v>35854000</v>
      </c>
      <c r="Q2" s="6">
        <v>0</v>
      </c>
      <c r="R2" s="5">
        <f>O2+P2-Q2</f>
        <v>35854000</v>
      </c>
      <c r="S2" s="6">
        <f>[1]VEHICLE!$S$10</f>
        <v>14188750</v>
      </c>
      <c r="T2" s="7">
        <v>0.25</v>
      </c>
      <c r="U2" s="5">
        <f>(R2-S2)*T2</f>
        <v>5416312.5</v>
      </c>
      <c r="V2" s="5">
        <f>S2+U2</f>
        <v>19605062.5</v>
      </c>
      <c r="W2" s="5">
        <f>R2-V2</f>
        <v>16248937.5</v>
      </c>
      <c r="X2" s="2">
        <v>1</v>
      </c>
      <c r="Y2" s="8" t="s">
        <v>31</v>
      </c>
      <c r="Z2" s="2">
        <v>25</v>
      </c>
      <c r="AA2" s="2">
        <v>5</v>
      </c>
    </row>
    <row r="3" s="2" customFormat="1" spans="1:28">
      <c r="A3" s="2" t="s">
        <v>28</v>
      </c>
      <c r="B3" s="2" t="s">
        <v>32</v>
      </c>
      <c r="D3" s="2" t="s">
        <v>30</v>
      </c>
      <c r="F3" s="9" t="s">
        <v>33</v>
      </c>
      <c r="H3" s="2" t="s">
        <v>34</v>
      </c>
      <c r="I3" s="10" t="s">
        <v>35</v>
      </c>
      <c r="J3" s="2" t="s">
        <v>36</v>
      </c>
      <c r="L3" s="2">
        <v>2024</v>
      </c>
      <c r="M3" s="11">
        <v>9</v>
      </c>
      <c r="N3" s="2">
        <v>23</v>
      </c>
      <c r="O3" s="5">
        <v>12800000</v>
      </c>
      <c r="P3" s="5">
        <v>35854000</v>
      </c>
      <c r="Q3" s="5"/>
      <c r="R3" s="5">
        <f>O3+P3-Q3</f>
        <v>48654000</v>
      </c>
      <c r="S3" s="5">
        <f>V2</f>
        <v>19605062.5</v>
      </c>
      <c r="T3" s="7">
        <v>0.25</v>
      </c>
      <c r="U3" s="5">
        <f>(R3-S3)*T3</f>
        <v>7262234.375</v>
      </c>
      <c r="V3" s="5">
        <f>S3+U3</f>
        <v>26867296.875</v>
      </c>
      <c r="W3" s="5">
        <f>R3-V3</f>
        <v>21786703.125</v>
      </c>
      <c r="X3" s="2">
        <v>1</v>
      </c>
      <c r="Y3" s="8" t="s">
        <v>31</v>
      </c>
      <c r="Z3" s="2">
        <v>25</v>
      </c>
      <c r="AA3" s="2">
        <v>5</v>
      </c>
    </row>
    <row r="4" s="2" customFormat="1" spans="1:28">
      <c r="A4" s="2" t="s">
        <v>28</v>
      </c>
      <c r="B4" s="2" t="s">
        <v>37</v>
      </c>
      <c r="D4" s="2" t="s">
        <v>30</v>
      </c>
      <c r="F4" s="2" t="s">
        <v>38</v>
      </c>
      <c r="H4" s="2" t="s">
        <v>39</v>
      </c>
      <c r="I4" s="2" t="s">
        <v>40</v>
      </c>
      <c r="J4" s="2" t="s">
        <v>36</v>
      </c>
      <c r="L4" s="2">
        <v>2025</v>
      </c>
      <c r="M4" s="11">
        <v>3</v>
      </c>
      <c r="N4" s="2">
        <v>10</v>
      </c>
      <c r="O4" s="5">
        <v>0</v>
      </c>
      <c r="P4" s="5">
        <f>R3</f>
        <v>48654000</v>
      </c>
      <c r="Q4" s="5">
        <v>14000000</v>
      </c>
      <c r="R4" s="5">
        <f>O4+P4-Q4</f>
        <v>34654000</v>
      </c>
      <c r="S4" s="5">
        <f>V3</f>
        <v>26867296.875</v>
      </c>
      <c r="T4" s="7">
        <v>0.25</v>
      </c>
      <c r="U4" s="5">
        <f>(R4-S4)*T4</f>
        <v>1946675.78125</v>
      </c>
      <c r="V4" s="5">
        <f>S4+U4</f>
        <v>28813972.65625</v>
      </c>
      <c r="W4" s="5"/>
      <c r="X4" s="2">
        <v>1</v>
      </c>
      <c r="Y4" s="8" t="s">
        <v>31</v>
      </c>
      <c r="Z4" s="2">
        <v>25</v>
      </c>
      <c r="AA4" s="2">
        <v>5</v>
      </c>
    </row>
    <row r="5" s="2" customFormat="1" spans="1:28">
      <c r="A5" s="2" t="s">
        <v>28</v>
      </c>
      <c r="B5" s="2" t="s">
        <v>37</v>
      </c>
      <c r="D5" s="2" t="s">
        <v>30</v>
      </c>
      <c r="F5" s="9" t="s">
        <v>41</v>
      </c>
      <c r="H5" s="2" t="s">
        <v>42</v>
      </c>
      <c r="I5" s="2" t="s">
        <v>43</v>
      </c>
      <c r="J5" s="2" t="s">
        <v>44</v>
      </c>
      <c r="L5" s="2">
        <v>2025</v>
      </c>
      <c r="M5" s="11">
        <v>3</v>
      </c>
      <c r="N5" s="2">
        <v>13</v>
      </c>
      <c r="O5" s="5">
        <v>32000000</v>
      </c>
      <c r="P5" s="5">
        <f>R4</f>
        <v>34654000</v>
      </c>
      <c r="Q5" s="5"/>
      <c r="R5" s="5">
        <f>O5+P5-Q5</f>
        <v>66654000</v>
      </c>
      <c r="S5" s="5">
        <v>26867296.875</v>
      </c>
      <c r="T5" s="7">
        <v>0.25</v>
      </c>
      <c r="U5" s="5">
        <f>(R5-S5)*T5</f>
        <v>9946675.78125</v>
      </c>
      <c r="V5" s="5">
        <f>S5+U5</f>
        <v>36813972.65625</v>
      </c>
      <c r="W5" s="5">
        <f>R5-V5</f>
        <v>29840027.34375</v>
      </c>
      <c r="X5" s="2">
        <v>1</v>
      </c>
      <c r="Y5" s="8" t="s">
        <v>31</v>
      </c>
      <c r="Z5" s="2">
        <v>25</v>
      </c>
      <c r="AA5" s="2">
        <v>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\Users\ADMIN\WPSDrive\3728688296144\WPSDrive\KPS%20Asset%20Register%202018%20to%202026.xlsx" FileId="123489508660648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2026-09-07T11:32:07Z</dcterms:created>
  <dcterms:modified xsi:type="dcterms:W3CDTF">2026-09-07T11:34:41Z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567CF8367D7443B2BE084D2C37C6F7AE_11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